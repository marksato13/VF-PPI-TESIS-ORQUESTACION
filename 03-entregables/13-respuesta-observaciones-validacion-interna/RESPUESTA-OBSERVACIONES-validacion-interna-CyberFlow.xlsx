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kp\Desktop\PY-MEGATRON\PY - PERSONAL\TESIS\CYBERFLOW\orquestacion-limpio\03-entregables\13-respuesta-observaciones-validacion-interna\"/>
    </mc:Choice>
  </mc:AlternateContent>
  <xr:revisionPtr revIDLastSave="0" documentId="13_ncr:1_{68EF5A8B-679E-4BF0-9113-D96241CDD2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EME" sheetId="1" r:id="rId1"/>
    <sheet name="OBSERVACIONES" sheetId="2" r:id="rId2"/>
    <sheet name="RESUMEN" sheetId="3" r:id="rId3"/>
    <sheet name="PARTICIPANTES" sheetId="4" r:id="rId4"/>
    <sheet name="CATALOGOS" sheetId="5" state="hidden" r:id="rId5"/>
  </sheets>
  <definedNames>
    <definedName name="_xlnm._FilterDatabase" localSheetId="0" hidden="1">LEEME!$A$20:$H$21</definedName>
    <definedName name="_xlnm._FilterDatabase" localSheetId="1" hidden="1">OBSERVACIONES!$A$7:$T$25</definedName>
    <definedName name="_xlnm.Print_Area" localSheetId="0">LEEME!$A$1:$H$27</definedName>
    <definedName name="_xlnm.Print_Area" localSheetId="1">OBSERVACIONES!$A$1:$T$25</definedName>
    <definedName name="_xlnm.Print_Area" localSheetId="3">PARTICIPANTES!$A$1:$G$21</definedName>
    <definedName name="_xlnm.Print_Area" localSheetId="2">RESUMEN!$A$1:$J$38</definedName>
    <definedName name="ListaEstados">CATALOGOS!$A$2:$A$6</definedName>
    <definedName name="ListaPrioridades">CATALOGOS!$B$2:$B$5</definedName>
    <definedName name="_xlnm.Print_Titles" localSheetId="1">OBSERVACIONES!$1:$7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 l="1"/>
  <c r="B18" i="3"/>
  <c r="H17" i="3"/>
  <c r="E17" i="3"/>
  <c r="B17" i="3"/>
  <c r="H16" i="3"/>
  <c r="E16" i="3"/>
  <c r="B16" i="3"/>
  <c r="H15" i="3"/>
  <c r="E15" i="3"/>
  <c r="B15" i="3"/>
  <c r="H14" i="3"/>
  <c r="E14" i="3"/>
  <c r="B14" i="3"/>
  <c r="B8" i="3"/>
  <c r="B7" i="3"/>
  <c r="B6" i="3"/>
  <c r="B9" i="3" s="1"/>
</calcChain>
</file>

<file path=xl/sharedStrings.xml><?xml version="1.0" encoding="utf-8"?>
<sst xmlns="http://schemas.openxmlformats.org/spreadsheetml/2006/main" count="443" uniqueCount="324">
  <si>
    <t>Matriz de respuesta a observaciones</t>
  </si>
  <si>
    <t>Validación interna técnica de CyberFlow | Fuente principal: grabación y transcripción de Teams | Elaborado: 15/10/2026</t>
  </si>
  <si>
    <t>Propósito y uso</t>
  </si>
  <si>
    <t>1</t>
  </si>
  <si>
    <t>Filtrar la hoja OBSERVACIONES por validador, prioridad o estado.</t>
  </si>
  <si>
    <t>2</t>
  </si>
  <si>
    <t>Revisar la respuesta propuesta y ajustar su redacción antes de enviarla.</t>
  </si>
  <si>
    <t>3</t>
  </si>
  <si>
    <t>Registrar únicamente trabajo real en las columnas amarillas: Estado, Cambio aplicado, Evidencia, Responsable y fechas.</t>
  </si>
  <si>
    <t>4</t>
  </si>
  <si>
    <t>No marcar una observación como Aplicado sin indicar evidencia verificable.</t>
  </si>
  <si>
    <t>5</t>
  </si>
  <si>
    <t>La hoja RESUMEN se actualiza mediante fórmulas cuando cambian los estados.</t>
  </si>
  <si>
    <t>Leyenda de edición</t>
  </si>
  <si>
    <t>Celda amarilla / texto azul</t>
  </si>
  <si>
    <t>Campo que debe completar o actualizar el equipo.</t>
  </si>
  <si>
    <t>En propuesta</t>
  </si>
  <si>
    <t>La respuesta está redactada, pero el cambio todavía no ha sido ejecutado.</t>
  </si>
  <si>
    <t>Aplicado</t>
  </si>
  <si>
    <t>El cambio se ejecutó y tiene evidencia enlazada.</t>
  </si>
  <si>
    <t>Descartado (justificado)</t>
  </si>
  <si>
    <t>No se aplicará; la justificación debe quedar en Cambio aplicado y Evidencia.</t>
  </si>
  <si>
    <t>No aplica</t>
  </si>
  <si>
    <t>Reconocimiento o punto que no requiere modificación.</t>
  </si>
  <si>
    <t>Ejemplo de llenado</t>
  </si>
  <si>
    <t>Estado</t>
  </si>
  <si>
    <t>Cambio aplicado</t>
  </si>
  <si>
    <t>Evidencia</t>
  </si>
  <si>
    <t>Responsable</t>
  </si>
  <si>
    <t>Fecha compromiso</t>
  </si>
  <si>
    <t>Fecha cierre</t>
  </si>
  <si>
    <t>Nota</t>
  </si>
  <si>
    <t>Se añadió la tabla de políticas de pfSense en la sección 3.2.</t>
  </si>
  <si>
    <t>tesis-v4.pdf, p. 41; commit abc123</t>
  </si>
  <si>
    <t>Rubén Mark</t>
  </si>
  <si>
    <t>El ejemplo está solo en esta hoja; no forma parte del conteo de observaciones.</t>
  </si>
  <si>
    <t>Supuestos y límites de esta matriz</t>
  </si>
  <si>
    <t>• Los minutos corresponden al tiempo absoluto de la grabación de Teams.</t>
  </si>
  <si>
    <t>• Las citas fueron limpiadas solo para legibilidad; la grabación y el VTT conservan la fuente primaria.</t>
  </si>
  <si>
    <t>• La latencia 4–23 s pertenece a detección en la batería comparativa; no representa el enforcement extremo a extremo.</t>
  </si>
  <si>
    <t>• Las respuestas propuestas se basan en código y documentación revisados, pero deben ser aprobadas por el equipo y el asesor antes de enviarse.</t>
  </si>
  <si>
    <t>Observaciones, respuestas y control de cambios</t>
  </si>
  <si>
    <t>Las columnas amarillas son editables. 'Cambio aplicado', evidencia, responsable y fechas se entregan en blanco para el seguimiento del equipo.</t>
  </si>
  <si>
    <t>Criterio de cierre: una fila solo pasa a Aplicado cuando el cambio está descrito y la evidencia permite verificarlo.</t>
  </si>
  <si>
    <t>Fuente: Validación interna técnica de CyberFlow (grabación Teams, 15/10/2026), VTT y verificación posterior de código/documentación.</t>
  </si>
  <si>
    <t>ID</t>
  </si>
  <si>
    <t>Tipo</t>
  </si>
  <si>
    <t>Validador</t>
  </si>
  <si>
    <t>Rol</t>
  </si>
  <si>
    <t>Minuto</t>
  </si>
  <si>
    <t>Tema</t>
  </si>
  <si>
    <t>Observación / recomendación</t>
  </si>
  <si>
    <t>Cita representativa</t>
  </si>
  <si>
    <t>Respuesta dada en sesión</t>
  </si>
  <si>
    <t>Validación técnica posterior</t>
  </si>
  <si>
    <t>Respuesta propuesta al evaluador</t>
  </si>
  <si>
    <t>Acción / cambio sugerido</t>
  </si>
  <si>
    <t>Ubicación sugerida</t>
  </si>
  <si>
    <t>Prioridad</t>
  </si>
  <si>
    <t>CF-VI-01</t>
  </si>
  <si>
    <t>Observación</t>
  </si>
  <si>
    <t>Ferdinand</t>
  </si>
  <si>
    <t>Evaluador técnico: arquitectura y modelado</t>
  </si>
  <si>
    <t>00:33:20</t>
  </si>
  <si>
    <t>Rol de pfSense</t>
  </si>
  <si>
    <t>La arquitectura presenta pfSense como firewall, pero en la explicación se observa principalmente enrutamiento inter-VLAN. Debe precisarse qué función de seguridad cumple y qué políticas aplica.</t>
  </si>
  <si>
    <t>¿Por qué un firewall y no un router simple para la comunicación?</t>
  </si>
  <si>
    <t>Se indicó que pfSense comunica las VLAN y que algunas políticas limitan el alcance de los ataques, sin detallar las reglas.</t>
  </si>
  <si>
    <t>La arquitectura vigente ubica pfSense en la ruta y separa la copia SPAN del tráfico de producción. La denominación correcta depende de documentar las políticas realmente aplicadas.</t>
  </si>
  <si>
    <t>Se acepta la observación. En el documento se describirá como gateway pfSense para enrutamiento inter-VLAN y, solo donde exista evidencia de reglas, como firewall. Se listarán las políticas usadas para segmentación y control del laboratorio.</t>
  </si>
  <si>
    <t>Corregir el diagrama y el texto; incorporar una tabla de interfaces, VLAN, ruta y políticas. Si no hay evidencia de filtrado, usar 'router/gateway' en ese contexto.</t>
  </si>
  <si>
    <t>Arquitectura, metodología y diagrama VI-1</t>
  </si>
  <si>
    <t>Alta</t>
  </si>
  <si>
    <t>CF-VI-02</t>
  </si>
  <si>
    <t>00:34:52</t>
  </si>
  <si>
    <t>Uso de StandardScaler</t>
  </si>
  <si>
    <t>Justificar por qué se usa StandardScaler y revisar su sensibilidad a valores extremos; no asumir que Isolation Forest requiere escalado por ser no supervisado.</t>
  </si>
  <si>
    <t>¿Por qué esa normalización del StandardScaler?</t>
  </si>
  <si>
    <t>Se respondió que las variables tienen escalas muy distintas y que el escalado ayuda a uniformizarlas y fijar el umbral.</t>
  </si>
  <si>
    <t>La implementación desplegada empaqueta StandardScaler e Isolation Forest en un Pipeline y ajusta el scaler solo con train. Isolation Forest no es un método de distancia; por ello, la defensa debe ser experimental, no una necesidad teórica.</t>
  </si>
  <si>
    <t>La observación es válida. Se reemplazará la justificación incorrecta por una comparación con y sin escalado. El scaler se mantendrá únicamente si la ablación muestra una ventaja reproducible; de lo contrario, se retirará o se reportará como decisión del pipeline, no como requisito del algoritmo.</t>
  </si>
  <si>
    <t>Añadir ablación IF escalado vs. no escalado, documentar ajuste solo con train y discutir StandardScaler frente a alternativas robustas.</t>
  </si>
  <si>
    <t>Metodología de modelado, ficha del modelo y resultados</t>
  </si>
  <si>
    <t>CF-VI-03</t>
  </si>
  <si>
    <t>00:38:04</t>
  </si>
  <si>
    <t>Alcance por capas</t>
  </si>
  <si>
    <t>La introducción sugiere análisis integral de red, pero la evaluación mostrada corresponde principalmente a capas superiores. El alcance debe anunciarse desde el inicio.</t>
  </si>
  <si>
    <t>Al inicio parecía que ibas a hacer un análisis completo de red.</t>
  </si>
  <si>
    <t>Se aclaró que se recolectan 31 variables, pero el modelo vigente usa 28 de capas 3, 4 y 7; las tres variables de capa 2 todavía no se puntúan.</t>
  </si>
  <si>
    <t>El alcance verificable es análisis de 28 variables L3/L4/L7 sobre IPv4. La capa 2 participa en la deduplicación del espejo, pero no en el scoring del modelo vigente.</t>
  </si>
  <si>
    <t>Se acepta. La tesis y la exposición declararán desde el problema y los objetivos que CyberFlow v2 analiza comportamiento L3/L4/L7 sobre IPv4. La cobertura L2 se presentará como extensión no desplegada.</t>
  </si>
  <si>
    <t>Uniformar título, problema, objetivos, arquitectura, metodología, resultados y limitaciones con la misma declaración de alcance.</t>
  </si>
  <si>
    <t>Resumen, introducción, objetivos, metodología y presentación</t>
  </si>
  <si>
    <t>Crítica</t>
  </si>
  <si>
    <t>CF-VI-04</t>
  </si>
  <si>
    <t>00:40:09</t>
  </si>
  <si>
    <t>Cobertura IPv6</t>
  </si>
  <si>
    <t>El modelo solo procesa IPv4. Debe declararse la limitación y considerar IPv6 como ampliación para evitar una zona no observada.</t>
  </si>
  <si>
    <t>El modelo solo trabaja para IPv4, ¿no? Vean el tema de escalamiento a IPv6.</t>
  </si>
  <si>
    <t>Se confirmó que el alcance actual es únicamente IPv4.</t>
  </si>
  <si>
    <t>El extractor y el esquema vigentes están definidos para IPv4; IPv6 no debe presentarse como cubierto ni inferirse a partir de las variables de capas superiores.</t>
  </si>
  <si>
    <t>Se acepta. Se declarará IPv4 como límite explícito y se propondrá una extensión IPv6 con normalización de direcciones, extracción equivalente de features, nueva línea base y recalibración antes de afirmar cobertura.</t>
  </si>
  <si>
    <t>Agregar limitación, amenaza a la validez y plan de trabajo futuro para IPv6; no reutilizar el umbral vigente sin validación.</t>
  </si>
  <si>
    <t>Alcance, limitaciones y trabajos futuros</t>
  </si>
  <si>
    <t>CF-VI-05</t>
  </si>
  <si>
    <t>00:42:25</t>
  </si>
  <si>
    <t>Comparación de modelos</t>
  </si>
  <si>
    <t>Mostrar que Isolation Forest fue seleccionado después de comparar alternativas y explicar el criterio de selección.</t>
  </si>
  <si>
    <t>¿Solo has probado ese modelo o has probado algún otro modelo con el cual te puedas comparar?</t>
  </si>
  <si>
    <t>Se indicó que sí existe una tabla comparativa, pero no se mostró con claridad durante la exposición.</t>
  </si>
  <si>
    <t>Existen candidatos congelados y scripts reproducibles de comparación. La selección debe mostrar Isolation Forest, OCSVM y LOF bajo el mismo protocolo, con ROC-AUC, PR-AUC, FPR, estabilidad y limitaciones.</t>
  </si>
  <si>
    <t>Se acepta. Se incorporará la tabla comparativa y se explicará que Isolation Forest fue elegido por el balance medido entre detección, falsos positivos y estabilidad, no por evaluar un único algoritmo.</t>
  </si>
  <si>
    <t>Insertar tabla de comparación y criterios; enlazar el script compare_frozen_models_metrics.py y los artefactos congelados.</t>
  </si>
  <si>
    <t>Resultados de modelado y diapositiva de selección</t>
  </si>
  <si>
    <t>CF-VI-06</t>
  </si>
  <si>
    <t>00:43:52</t>
  </si>
  <si>
    <t>Justificación de alpha = 0,05</t>
  </si>
  <si>
    <t>Explicar por qué el umbral usa alpha = 0,05 y sustentar que no es un valor arbitrario elegido después de observar la prueba.</t>
  </si>
  <si>
    <t>¿En qué se han basado para escoger el alfa de 0,05?</t>
  </si>
  <si>
    <t>Se respondió que fue recomendado para equilibrar sensibilidad y falsas alertas, sin mostrar una referencia ni el protocolo de fijación.</t>
  </si>
  <si>
    <t>Alpha = 0,05 fija el quinto percentil de scores normales en validación, antes de evaluar test, como presupuesto operativo objetivo cercano al 5 % de cola normal. El test retenido obtuvo 4,45 % de FPR. No es una constante universal y requiere análisis de sensibilidad.</t>
  </si>
  <si>
    <t>Se acepta. Se explicará alpha como una decisión de riesgo predefinida sobre validación, se mostrará la sensibilidad a otros cuantiles y se citarán el protocolo reproducible y las fuentes del algoritmo. No se afirmará que 0,05 sea universalmente óptimo.</t>
  </si>
  <si>
    <t>Añadir ecuación del cuantil, separación train/validation/test, análisis de sensibilidad y referencias metodológicas.</t>
  </si>
  <si>
    <t>Metodología de calibración, resultados y ficha del modelo</t>
  </si>
  <si>
    <t>CF-VI-07</t>
  </si>
  <si>
    <t>00:45:54</t>
  </si>
  <si>
    <t>Deduplicación</t>
  </si>
  <si>
    <t>Revisar el uso del término 'filas duplicadas'. Datos similares del mismo flujo pueden ser observaciones legítimas y no deberían eliminarse sin un criterio reproducible.</t>
  </si>
  <si>
    <t>Yo no creería que sea duplicado; podría ser data similar e importante.</t>
  </si>
  <si>
    <t>La respuesta mezcló duplicados de paquetes causados por SPAN con ventanas o filas de comportamiento similar.</t>
  </si>
  <si>
    <t>Hay dos problemas distintos. La deduplicación de paquetes elimina artefactos del espejo dentro de 5 ms, con campos IP/TCP y diferencia de TTL menor o igual a 1, conservando la copia de mayor TTL. Los vectores idénticos del dataset se auditan con gates; las ventanas meramente similares no deben eliminarse por parecer repetidas.</t>
  </si>
  <si>
    <t>Se acepta la precisión. El documento separará 'deduplicación de paquetes SPAN' de 'auditoría de vectores duplicados'. Se revisará cualquier eliminación de filas similares y se conservarán salvo que exista un criterio declarado, reproducible y sin fuga entre particiones.</t>
  </si>
  <si>
    <t>Corregir terminología, describir la clave y ventana de deduplicación, y documentar los gates de duplicados del dataset.</t>
  </si>
  <si>
    <t>Preprocesamiento, datasheet y amenazas a la validez</t>
  </si>
  <si>
    <t>CF-VI-08</t>
  </si>
  <si>
    <t>Immer Elías Cuéllar Rodríguez</t>
  </si>
  <si>
    <t>Evaluador: coherencia y pertinencia académica</t>
  </si>
  <si>
    <t>00:50:39</t>
  </si>
  <si>
    <t>Trazabilidad lógica</t>
  </si>
  <si>
    <t>Debe existir correspondencia entre lo que se promete, lo que se muestra en la práctica y lo que se concluye, especialmente respecto de las capas analizadas.</t>
  </si>
  <si>
    <t>Que haya una trazabilidad lógica entre lo que se habla y lo que se está mostrando después.</t>
  </si>
  <si>
    <t>Se agradeció la observación, sin presentar una matriz de consistencia durante la sesión.</t>
  </si>
  <si>
    <t>La corrección requiere una única declaración de alcance y trazabilidad objetivo-requisito-método-evidencia-resultado-limitación.</t>
  </si>
  <si>
    <t>Se acepta. Se incorporará una matriz de trazabilidad y se revisará que resumen, objetivos, método, demostración, resultados y conclusiones usen el mismo alcance L3/L4/L7 sobre IPv4.</t>
  </si>
  <si>
    <t>Crear matriz de trazabilidad y ejecutar revisión cruzada de afirmaciones en tesis, artículo, panel y presentación.</t>
  </si>
  <si>
    <t>Matriz de consistencia, introducción y conclusiones</t>
  </si>
  <si>
    <t>CF-VI-09</t>
  </si>
  <si>
    <t>00:51:47</t>
  </si>
  <si>
    <t>IPv6 como ampliación</t>
  </si>
  <si>
    <t>Para aumentar la relevancia publicable, explorar tráfico y ataques IPv6 sin ampliar ahora el trabajo hacia todas las capas inferiores.</t>
  </si>
  <si>
    <t>Sí se podría explorar los ataques o el flujo en IPv6.</t>
  </si>
  <si>
    <t>No se planteó un compromiso concreto durante la sesión.</t>
  </si>
  <si>
    <t>IPv6 es una extensión razonable, pero implica cambios de extracción, datos normales, escenarios de ataque y recalibración; no debe describirse como un cambio menor sin medirlo.</t>
  </si>
  <si>
    <t>Se incorpora como línea de trabajo futuro priorizada. La versión actual mantendrá el límite IPv4 y definirá un protocolo de extensión IPv6 antes de reclamar cobertura dual-stack.</t>
  </si>
  <si>
    <t>Añadir hoja de ruta IPv6 con dataset, features, amenazas, recalibración y evaluación dual-stack.</t>
  </si>
  <si>
    <t>Limitaciones, trabajos futuros y plan de mejora</t>
  </si>
  <si>
    <t>Media</t>
  </si>
  <si>
    <t>CF-VI-10</t>
  </si>
  <si>
    <t>Reconocimiento</t>
  </si>
  <si>
    <t>00:50:10</t>
  </si>
  <si>
    <t>Valor del producto</t>
  </si>
  <si>
    <t>Se reconoce el esfuerzo invertido tanto en la detección como en la construcción de un producto de software que vuelve los resultados más intuitivos.</t>
  </si>
  <si>
    <t>Se ve bastante tiempo dedicado [...] también en ese producto de software.</t>
  </si>
  <si>
    <t>Se agradeció el reconocimiento.</t>
  </si>
  <si>
    <t>El reconocimiento es consistente con la existencia del panel, el motor híbrido y los artefactos reproducibles. No sustituye la evidencia de eficacia ni requiere una corrección.</t>
  </si>
  <si>
    <t>Se agradece el reconocimiento. Se mantendrá el énfasis en separar el aporte de producto de las métricas experimentales, evitando usar la calidad de la interfaz como evidencia de detección.</t>
  </si>
  <si>
    <t>Conservar como fortaleza y asegurar que el panel enlace evidencia verificable.</t>
  </si>
  <si>
    <t>Fortalezas del producto y discusión</t>
  </si>
  <si>
    <t>Baja</t>
  </si>
  <si>
    <t>CF-VI-11</t>
  </si>
  <si>
    <t>Abner Saúl Neira Torres</t>
  </si>
  <si>
    <t>Evaluador: operación, respuesta e integración</t>
  </si>
  <si>
    <t>00:53:25</t>
  </si>
  <si>
    <t>PERMIT / LIMIT / BLOCK</t>
  </si>
  <si>
    <t>Definir con precisión cuándo una anomalía recibe LIMIT o BLOCK y qué efecto técnico produce cada acción.</t>
  </si>
  <si>
    <t>¿En base a qué condiciones lo considera LIMIT y no BLOCK, y a qué se refiere LIMIT?</t>
  </si>
  <si>
    <t>La primera respuesta confundió LIMIT con alerta y bloqueo; luego se explicó que una anomalía no necesariamente es un ataque y por eso primero se limita.</t>
  </si>
  <si>
    <t>La regla implementada es: normal/excluido/vacío → PERMIT; anomalía del modelo → LIMIT; fuerza bruta o escaneo → BLOCK; abuso HTTP o entropía DNS → LIMIT. LIMIT aplica rate 100/second por 300 s. BLOCK usa 300/1800/3600 s según reincidencia, nunca infinito automático. La alerta es un canal de observabilidad, no una cuarta acción.</t>
  </si>
  <si>
    <t>Se acepta. Se corregirá la explicación para distinguir decisión, efecto y notificación. LIMIT reduce tasa como respuesta conservadora ante anomalía; BLOCK se reserva a heurísticos de mayor confianza. La acción más severa prevalece cuando coinciden señales.</t>
  </si>
  <si>
    <t>Añadir tabla de verdad, parámetros de nftables, caducidad, escalada, exclusiones y ejemplos por familia.</t>
  </si>
  <si>
    <t>Respuesta gradual, diseño de enforcement y presentación</t>
  </si>
  <si>
    <t>CF-VI-12</t>
  </si>
  <si>
    <t>00:58:09</t>
  </si>
  <si>
    <t>Alcance operativo del tráfico</t>
  </si>
  <si>
    <t>Precisar si la solución analiza únicamente tráfico interno de la LAN o también tráfico con destino externo.</t>
  </si>
  <si>
    <t>¿La solución es solo a nivel de tráfico LAN o también tráfico que va con destino a la web?</t>
  </si>
  <si>
    <t>Se respondió que el experimento cubre tráfico interno entre las VLAN, las máquinas simuladas y el servidor.</t>
  </si>
  <si>
    <t>El alcance experimental es el tráfico IPv4 observable en el segmento reflejado por SPAN y atribuible a entidades monitorizadas. El enforcement se aplica en hosts Linux administrados; no equivale a protección perimetral completa.</t>
  </si>
  <si>
    <t>Se acepta. Se delimitará topología, punto de observación, direcciones del flujo, activos administrados y tráfico fuera de alcance. No se afirmará cobertura de Internet o del perímetro si no cruza el segmento observado.</t>
  </si>
  <si>
    <t>Incorporar diagrama de frontera de confianza y tabla incluido/excluido.</t>
  </si>
  <si>
    <t>Alcance operativo, topología y limitaciones</t>
  </si>
  <si>
    <t>CF-VI-13</t>
  </si>
  <si>
    <t>00:59:04</t>
  </si>
  <si>
    <t>Tiempos de detección y respuesta</t>
  </si>
  <si>
    <t>Separar el tiempo para detectar y clasificar del tiempo requerido para publicar y aplicar la respuesta.</t>
  </si>
  <si>
    <t>¿Cuánto tiempo le toma hacer ese análisis y ya tomar una decisión?</t>
  </si>
  <si>
    <t>Se informó un rango de 4 a 23 s, que corresponde a detección en la batería comparativa, no a la aplicación completa del control.</t>
  </si>
  <si>
    <t>La ablación N=3 reporta latencia de detección mediana de 13 s [4–23]. La documentación operacional amplía el rango de detección a ~2–40 s. La publicación del feed puede tardar hasta 60 s y la respuesta total observada es ~1–2,5 min, con máximo documentado de 141 s.</t>
  </si>
  <si>
    <t>Se corrige la respuesta: 4–23 s describe la detección de episodios de la batería, no el bloqueo extremo a extremo. Se reportarán por separado t_detección, t_decisión/publicación y t_aplicación, indicando escenario, reloj de origen y tamaño de muestra.</t>
  </si>
  <si>
    <t>Crear tabla de latencias con definiciones, mediana/rango, n, familia de ataque y evidencia; alinear tesis, artículo, panel y presentación.</t>
  </si>
  <si>
    <t>Resultados operativos, metodología de medición y diapositiva de tiempos</t>
  </si>
  <si>
    <t>CF-VI-14</t>
  </si>
  <si>
    <t>01:00:49</t>
  </si>
  <si>
    <t>Integración con firewall</t>
  </si>
  <si>
    <t>Evaluar integración automática con el firewall para generar reglas cuando CyberFlow identifica un equipo que origina ataques.</t>
  </si>
  <si>
    <t>Sería bueno hacer esa integración y que automáticamente se genere una regla en el firewall.</t>
  </si>
  <si>
    <t>No se presentó una integración activa con pfSense; la respuesta actual se aplica mediante agentes nftables en hosts Linux.</t>
  </si>
  <si>
    <t>La arquitectura vigente usa feed firmado Ed25519 y agentes pull que verifican la firma antes de aplicar nftables. La integración con pfSense no está implementada y debe figurar como mejora, con controles de seguridad y reversión.</t>
  </si>
  <si>
    <t>Se acepta como trabajo futuro. Se diseñará un adaptador para pfSense/API que consuma decisiones firmadas, aplique expiración, lista de exclusión, aprobación humana para escaladas y rollback; no se afirmará que ya está desplegado.</t>
  </si>
  <si>
    <t>Definir interfaz de integración, amenazas, permisos mínimos, expiración, auditoría y prueba en laboratorio aislado.</t>
  </si>
  <si>
    <t>Arquitectura futura y plan de mejora</t>
  </si>
  <si>
    <t>CF-VI-15</t>
  </si>
  <si>
    <t>Autocorrección</t>
  </si>
  <si>
    <t>Equipo expositor</t>
  </si>
  <si>
    <t>Responsable de corrección interna</t>
  </si>
  <si>
    <t>00:54:19</t>
  </si>
  <si>
    <t>Terminología de respuesta</t>
  </si>
  <si>
    <t>La explicación oral afirmó que existían básicamente dos acciones y mezcló LIMIT, ALERT y BLOCK, lo que contradice el diseño implementado.</t>
  </si>
  <si>
    <t>Tenemos básicamente dos acciones [...] LIMIT y ALERT son como lo mismo.</t>
  </si>
  <si>
    <t>La respuesta quedó ambigua y posteriormente fue matizada con el principio de respuesta gradual.</t>
  </si>
  <si>
    <t>El código y la metodología validan tres decisiones: PERMIT, LIMIT y BLOCK. ALERT corresponde a notificación/observabilidad, no a una acción de enforcement.</t>
  </si>
  <si>
    <t>Se corregirá el guion y todo material donde ALERT aparezca como acción equivalente. La demostración mostrará el efecto exacto de LIMIT y BLOCK en nftables.</t>
  </si>
  <si>
    <t>Actualizar guion, presentación, glosario, panel y preguntas frecuentes.</t>
  </si>
  <si>
    <t>Material de exposición y documentación de operación</t>
  </si>
  <si>
    <t>CF-VI-16</t>
  </si>
  <si>
    <t>01:00:17</t>
  </si>
  <si>
    <t>Interpretación de latencia</t>
  </si>
  <si>
    <t>La respuesta oral pudo interpretarse como si 4–23 s fuera el tiempo total de respuesta, aunque solo corresponde a la detección de la batería comparativa.</t>
  </si>
  <si>
    <t>Entre cuatro segundos y 23 segundos, que es el tiempo de detección de los ataques.</t>
  </si>
  <si>
    <t>Se mencionó correctamente 'detección', pero no se añadió el tiempo de publicación y aplicación solicitado por el contexto operativo.</t>
  </si>
  <si>
    <t>Los valores son compatibles si se etiquetan: 13 s [4–23] para detección en la ablación; ~2–40 s como rango operativo documentado; hasta 60 s por publicación; ~1–2,5 min extremo a extremo, hasta 141 s.</t>
  </si>
  <si>
    <t>Se reemplazará cualquier frase genérica de 'tiempo de respuesta' por tres relojes definidos y se conservará la unidad experimental de cada cifra.</t>
  </si>
  <si>
    <t>Corregir textos, figuras y tarjetas que mezclen detección con enforcement.</t>
  </si>
  <si>
    <t>Resultados, presentación y panel</t>
  </si>
  <si>
    <t>CF-VI-17</t>
  </si>
  <si>
    <t>Compromiso</t>
  </si>
  <si>
    <t>Nemias Saboya</t>
  </si>
  <si>
    <t>Moderador y seguimiento académico</t>
  </si>
  <si>
    <t>01:01:55</t>
  </si>
  <si>
    <t>Atención punto por punto</t>
  </si>
  <si>
    <t>Consolidar las recomendaciones, responderlas individualmente y reflejarlas en una nueva versión del trabajo.</t>
  </si>
  <si>
    <t>Vamos a tomar en cuenta punto por punto, vamos a hacer un resumen y considerarlo para una nueva versión.</t>
  </si>
  <si>
    <t>El equipo aceptó elaborar el resumen y aplicar las mejoras.</t>
  </si>
  <si>
    <t>Este libro materializa el registro de observaciones y permite cerrar cada punto con cambio, evidencia, responsable y fecha.</t>
  </si>
  <si>
    <t>Se entregará una matriz de levantamiento con estado verificable; ninguna observación se marcará como aplicada sin evidencia enlazada.</t>
  </si>
  <si>
    <t>Completar las columnas editables y revisar el cierre con asesor y evaluadores.</t>
  </si>
  <si>
    <t>Acta de validación y control de cambios</t>
  </si>
  <si>
    <t>CF-VI-18</t>
  </si>
  <si>
    <t>00:02:27</t>
  </si>
  <si>
    <t>Socialización con asesor técnico</t>
  </si>
  <si>
    <t>La grabación y las recomendaciones deben compartirse con el profesor Fernando, asesor técnico ausente por motivos de salud, para que participe en la réplica de las mejoras.</t>
  </si>
  <si>
    <t>Como está quedando grabado, después escuchará para que pueda replicar las recomendaciones.</t>
  </si>
  <si>
    <t>Se dejó constancia de que la ausencia correspondía al asesor Fernando, distinto del evaluador Ferdinand.</t>
  </si>
  <si>
    <t>Se registrará la revisión del asesor técnico como parte del cierre, evitando confundir su identidad con la del evaluador Ferdinand.</t>
  </si>
  <si>
    <t>Se atenderá el compromiso: el profesor Fernando recibirá la grabación, esta matriz y las evidencias para revisar las correcciones técnicas antes del cierre.</t>
  </si>
  <si>
    <t>Compartir grabación, matriz y evidencias; registrar fecha de revisión y comentarios del asesor.</t>
  </si>
  <si>
    <t>Acta, participantes y control de revisión</t>
  </si>
  <si>
    <t>Resumen de seguimiento</t>
  </si>
  <si>
    <t>Indicadores calculados desde la hoja OBSERVACIONES. Se actualizan al abrir el libro en Excel o LibreOffice.</t>
  </si>
  <si>
    <t>Indicadores</t>
  </si>
  <si>
    <t>Total de registros</t>
  </si>
  <si>
    <t>Número total de observaciones, reconocimientos y compromisos.</t>
  </si>
  <si>
    <t>Prioridad crítica o alta</t>
  </si>
  <si>
    <t>Puntos que requieren atención prioritaria.</t>
  </si>
  <si>
    <t>Aplicados</t>
  </si>
  <si>
    <t>Cambios ejecutados con evidencia.</t>
  </si>
  <si>
    <t>Avance de cierre</t>
  </si>
  <si>
    <t>Aplicado + descartado justificado + no aplica, dividido entre el total.</t>
  </si>
  <si>
    <t>Por estado</t>
  </si>
  <si>
    <t>Por prioridad</t>
  </si>
  <si>
    <t>Por participante</t>
  </si>
  <si>
    <t>Cantidad</t>
  </si>
  <si>
    <t>Participante</t>
  </si>
  <si>
    <t>Por aplicar</t>
  </si>
  <si>
    <t>Participantes y fuentes</t>
  </si>
  <si>
    <t>Identidades verificadas con las etiquetas de hablante de Teams; la diarización local se usó únicamente como apoyo.</t>
  </si>
  <si>
    <t>Nombre</t>
  </si>
  <si>
    <t>Participación</t>
  </si>
  <si>
    <t>Enfoque principal</t>
  </si>
  <si>
    <t>Intervención</t>
  </si>
  <si>
    <t>Observaciones</t>
  </si>
  <si>
    <t>Fuente de identidad</t>
  </si>
  <si>
    <t>Evaluador técnico</t>
  </si>
  <si>
    <t>Arquitectura, capas, preprocesamiento y modelos</t>
  </si>
  <si>
    <t>00:33:08–00:49:38</t>
  </si>
  <si>
    <t>Etiqueta Teams + diarización</t>
  </si>
  <si>
    <t>No confundir con el profesor Fernando, asesor técnico.</t>
  </si>
  <si>
    <t>Evaluador</t>
  </si>
  <si>
    <t>Coherencia, pertinencia e IPv6</t>
  </si>
  <si>
    <t>00:50:03–00:52:56</t>
  </si>
  <si>
    <t>Incluye un reconocimiento al producto.</t>
  </si>
  <si>
    <t>Respuesta gradual, alcance, tiempos e integración</t>
  </si>
  <si>
    <t>00:53:20–01:01:35</t>
  </si>
  <si>
    <t>La transcripción automática muestra también 'Amner'; se conserva el nombre de Teams.</t>
  </si>
  <si>
    <t>Moderador</t>
  </si>
  <si>
    <t>Conducción y seguimiento punto por punto</t>
  </si>
  <si>
    <t>00:00:00–01:02:13</t>
  </si>
  <si>
    <t>Solicita consolidar y atender las recomendaciones.</t>
  </si>
  <si>
    <t>Rubén Mark Salazar Tocas</t>
  </si>
  <si>
    <t>Presentación, alcance, latencias y respuesta gradual</t>
  </si>
  <si>
    <t>Durante toda la sesión</t>
  </si>
  <si>
    <t>Responsable de parte de las respuestas orales.</t>
  </si>
  <si>
    <t>Uziel Saune</t>
  </si>
  <si>
    <t>Presentación, modelo, features y umbral</t>
  </si>
  <si>
    <t>En Teams figura como uziel.saune.</t>
  </si>
  <si>
    <t>Profesor Fernando</t>
  </si>
  <si>
    <t>Asesor técnico ausente</t>
  </si>
  <si>
    <t>Revisión técnica posterior</t>
  </si>
  <si>
    <t>Mencionado en 00:02:27</t>
  </si>
  <si>
    <t>Mención de Nemias</t>
  </si>
  <si>
    <t>Ausente por salud; la grabación permite socializar las recomendaciones.</t>
  </si>
  <si>
    <t>Fuentes primarias y técnicas</t>
  </si>
  <si>
    <t>Grabación</t>
  </si>
  <si>
    <t>Validación interna grabada en Microsoft Teams, duración aproximada 01:02:18.</t>
  </si>
  <si>
    <t>Transcripción nominal</t>
  </si>
  <si>
    <t>Validación interna técnica de CyberFlow.vtt y versión DOCX exportadas por Teams.</t>
  </si>
  <si>
    <t>Transcripción local</t>
  </si>
  <si>
    <t>Whisper small sobre la ronda de evaluadores; usada para contraste, no para sustituir el VTT.</t>
  </si>
  <si>
    <t>Diarización</t>
  </si>
  <si>
    <t>Pyannote, seis voces; mapeo contrastado con las etiquetas nominales de Teams.</t>
  </si>
  <si>
    <t>Verificación técnica</t>
  </si>
  <si>
    <t>Código desplegado, metodología de 7 fases, evidencias de enforcement y resultados comparativos.</t>
  </si>
  <si>
    <t>Estados</t>
  </si>
  <si>
    <t>Prioridades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</si>
</sst>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i/>
      <sz val="10"/>
      <color rgb="FF1F4E78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b/>
      <sz val="10"/>
      <color rgb="FF0000FF"/>
      <name val="Arial"/>
    </font>
    <font>
      <b/>
      <sz val="10"/>
      <color rgb="FF1F1F1F"/>
      <name val="Arial"/>
    </font>
    <font>
      <b/>
      <sz val="9"/>
      <color rgb="FFFFFFFF"/>
      <name val="Arial"/>
    </font>
    <font>
      <sz val="9"/>
      <color rgb="FF0000FF"/>
      <name val="Arial"/>
    </font>
    <font>
      <b/>
      <sz val="10"/>
      <color rgb="FF1F4E78"/>
      <name val="Arial"/>
    </font>
    <font>
      <i/>
      <sz val="9"/>
      <color rgb="FF1F1F1F"/>
      <name val="Arial"/>
    </font>
    <font>
      <sz val="9"/>
      <color rgb="FF1F1F1F"/>
      <name val="Arial"/>
    </font>
    <font>
      <b/>
      <sz val="9"/>
      <color rgb="FF1F4E78"/>
      <name val="Arial"/>
    </font>
    <font>
      <b/>
      <sz val="15"/>
      <color rgb="FF1F4E78"/>
      <name val="Arial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F6B78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8FBFD"/>
      </patternFill>
    </fill>
  </fills>
  <borders count="4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medium">
        <color rgb="FF1F4E78"/>
      </top>
      <bottom style="medium">
        <color rgb="FF1F4E78"/>
      </bottom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4" fillId="0" borderId="0" xfId="0" applyFont="1"/>
    <xf numFmtId="0" fontId="4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8" fillId="7" borderId="0" xfId="0" applyFont="1" applyFill="1" applyAlignment="1">
      <alignment vertical="top" wrapText="1"/>
    </xf>
    <xf numFmtId="14" fontId="8" fillId="7" borderId="0" xfId="0" applyNumberFormat="1" applyFont="1" applyFill="1" applyAlignment="1">
      <alignment vertical="top" wrapText="1"/>
    </xf>
    <xf numFmtId="0" fontId="7" fillId="4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1" fillId="0" borderId="2" xfId="0" applyFont="1" applyBorder="1" applyAlignment="1">
      <alignment horizontal="center" vertical="top"/>
    </xf>
    <xf numFmtId="0" fontId="8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 wrapText="1"/>
    </xf>
    <xf numFmtId="14" fontId="8" fillId="7" borderId="2" xfId="0" applyNumberFormat="1" applyFont="1" applyFill="1" applyBorder="1" applyAlignment="1">
      <alignment vertical="top" wrapText="1"/>
    </xf>
    <xf numFmtId="0" fontId="12" fillId="9" borderId="2" xfId="0" applyFont="1" applyFill="1" applyBorder="1" applyAlignment="1">
      <alignment vertical="top" wrapText="1"/>
    </xf>
    <xf numFmtId="0" fontId="11" fillId="9" borderId="2" xfId="0" applyFont="1" applyFill="1" applyBorder="1" applyAlignment="1">
      <alignment vertical="top" wrapText="1"/>
    </xf>
    <xf numFmtId="0" fontId="11" fillId="9" borderId="2" xfId="0" applyFont="1" applyFill="1" applyBorder="1" applyAlignment="1">
      <alignment horizontal="center" vertical="top"/>
    </xf>
    <xf numFmtId="0" fontId="6" fillId="5" borderId="0" xfId="0" applyFont="1" applyFill="1"/>
    <xf numFmtId="1" fontId="13" fillId="6" borderId="0" xfId="0" applyNumberFormat="1" applyFont="1" applyFill="1" applyAlignment="1">
      <alignment horizontal="center"/>
    </xf>
    <xf numFmtId="9" fontId="13" fillId="6" borderId="0" xfId="0" applyNumberFormat="1" applyFont="1" applyFill="1" applyAlignment="1">
      <alignment horizontal="center"/>
    </xf>
    <xf numFmtId="0" fontId="14" fillId="8" borderId="0" xfId="0" applyFont="1" applyFill="1"/>
    <xf numFmtId="0" fontId="14" fillId="8" borderId="0" xfId="0" applyFont="1" applyFill="1" applyAlignment="1">
      <alignment horizontal="center"/>
    </xf>
    <xf numFmtId="0" fontId="14" fillId="6" borderId="0" xfId="0" applyFont="1" applyFill="1"/>
    <xf numFmtId="0" fontId="14" fillId="6" borderId="0" xfId="0" applyFont="1" applyFill="1" applyAlignment="1">
      <alignment horizontal="center"/>
    </xf>
    <xf numFmtId="0" fontId="14" fillId="6" borderId="3" xfId="0" applyFont="1" applyFill="1" applyBorder="1" applyAlignment="1">
      <alignment vertical="top" wrapText="1"/>
    </xf>
    <xf numFmtId="0" fontId="14" fillId="9" borderId="3" xfId="0" applyFont="1" applyFill="1" applyBorder="1" applyAlignment="1">
      <alignment vertical="top" wrapText="1"/>
    </xf>
    <xf numFmtId="0" fontId="9" fillId="8" borderId="0" xfId="0" applyFont="1" applyFill="1"/>
    <xf numFmtId="0" fontId="9" fillId="6" borderId="0" xfId="0" applyFont="1" applyFill="1"/>
    <xf numFmtId="0" fontId="8" fillId="7" borderId="0" xfId="0" applyFont="1" applyFill="1" applyAlignment="1">
      <alignment vertical="top" wrapText="1"/>
    </xf>
    <xf numFmtId="0" fontId="14" fillId="0" borderId="0" xfId="0" applyFont="1"/>
    <xf numFmtId="0" fontId="14" fillId="0" borderId="0" xfId="0" applyFont="1" applyAlignment="1">
      <alignment vertical="center" wrapText="1"/>
    </xf>
    <xf numFmtId="0" fontId="6" fillId="8" borderId="0" xfId="0" applyFont="1" applyFill="1"/>
    <xf numFmtId="0" fontId="14" fillId="6" borderId="0" xfId="0" applyFont="1" applyFill="1" applyAlignment="1">
      <alignment vertical="center" wrapText="1"/>
    </xf>
    <xf numFmtId="0" fontId="14" fillId="8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4" fillId="2" borderId="0" xfId="0" applyFont="1" applyFill="1"/>
    <xf numFmtId="0" fontId="7" fillId="4" borderId="0" xfId="0" applyFont="1" applyFill="1" applyAlignment="1">
      <alignment horizontal="center"/>
    </xf>
    <xf numFmtId="0" fontId="5" fillId="7" borderId="0" xfId="0" applyFont="1" applyFill="1"/>
    <xf numFmtId="0" fontId="10" fillId="0" borderId="0" xfId="0" applyFont="1" applyAlignment="1">
      <alignment vertical="center" wrapText="1"/>
    </xf>
    <xf numFmtId="0" fontId="9" fillId="7" borderId="0" xfId="0" applyFont="1" applyFill="1" applyAlignment="1">
      <alignment vertical="center" wrapText="1"/>
    </xf>
  </cellXfs>
  <cellStyles count="1">
    <cellStyle name="Normal" xfId="0" builtinId="0"/>
  </cellStyles>
  <dxfs count="9">
    <dxf>
      <fill>
        <patternFill patternType="solid">
          <fgColor rgb="FFE7E6E6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t>Registros por estado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RESUMEN!$B$13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RESUMEN!$A$14:$A$18</c:f>
              <c:strCache>
                <c:ptCount val="5"/>
                <c:pt idx="0">
                  <c:v>En propuesta</c:v>
                </c:pt>
                <c:pt idx="1">
                  <c:v>Por aplicar</c:v>
                </c:pt>
                <c:pt idx="2">
                  <c:v>Aplicado</c:v>
                </c:pt>
                <c:pt idx="3">
                  <c:v>Descartado (justificado)</c:v>
                </c:pt>
                <c:pt idx="4">
                  <c:v>No aplica</c:v>
                </c:pt>
              </c:strCache>
            </c:strRef>
          </c:cat>
          <c:val>
            <c:numRef>
              <c:f>RESUMEN!$B$14:$B$18</c:f>
              <c:numCache>
                <c:formatCode>General</c:formatCode>
                <c:ptCount val="5"/>
                <c:pt idx="0">
                  <c:v>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4-42F3-86E7-04903C7D9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Estado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1"/>
  <c:chart>
    <c:title>
      <c:tx>
        <c:rich>
          <a:bodyPr/>
          <a:lstStyle/>
          <a:p>
            <a:pPr>
              <a:defRPr/>
            </a:pPr>
            <a:r>
              <a:t>Registros por participante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RESUMEN!$H$13</c:f>
              <c:strCache>
                <c:ptCount val="1"/>
                <c:pt idx="0">
                  <c:v>Cantidad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RESUMEN!$G$14:$G$18</c:f>
              <c:strCache>
                <c:ptCount val="5"/>
                <c:pt idx="0">
                  <c:v>Ferdinand</c:v>
                </c:pt>
                <c:pt idx="1">
                  <c:v>Immer Elías Cuéllar Rodríguez</c:v>
                </c:pt>
                <c:pt idx="2">
                  <c:v>Abner Saúl Neira Torres</c:v>
                </c:pt>
                <c:pt idx="3">
                  <c:v>Equipo expositor</c:v>
                </c:pt>
                <c:pt idx="4">
                  <c:v>Nemias Saboya</c:v>
                </c:pt>
              </c:strCache>
            </c:strRef>
          </c:cat>
          <c:val>
            <c:numRef>
              <c:f>RESUMEN!$H$14:$H$18</c:f>
              <c:numCache>
                <c:formatCode>General</c:formatCode>
                <c:ptCount val="5"/>
                <c:pt idx="0">
                  <c:v>7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4-44E9-8F96-07AFBDBF8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Cantidad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20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articipantes" displayName="TablaParticipantes" ref="A6:G13">
  <autoFilter ref="A6:G13" xr:uid="{00000000-0009-0000-0100-000001000000}"/>
  <tableColumns count="7">
    <tableColumn id="1" xr3:uid="{00000000-0010-0000-0000-000001000000}" name="Nombre"/>
    <tableColumn id="2" xr3:uid="{00000000-0010-0000-0000-000002000000}" name="Participación"/>
    <tableColumn id="3" xr3:uid="{00000000-0010-0000-0000-000003000000}" name="Enfoque principal"/>
    <tableColumn id="4" xr3:uid="{00000000-0010-0000-0000-000004000000}" name="Intervención"/>
    <tableColumn id="5" xr3:uid="{00000000-0010-0000-0000-000005000000}" name="Observaciones"/>
    <tableColumn id="6" xr3:uid="{00000000-0010-0000-0000-000006000000}" name="Fuente de identidad"/>
    <tableColumn id="7" xr3:uid="{00000000-0010-0000-0000-000007000000}" name="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7"/>
  <sheetViews>
    <sheetView showGridLines="0" tabSelected="1" workbookViewId="0">
      <pane ySplit="5" topLeftCell="A6" activePane="bottomLeft" state="frozen"/>
      <selection pane="bottomLeft" sqref="A1:H2"/>
    </sheetView>
  </sheetViews>
  <sheetFormatPr baseColWidth="10" defaultColWidth="8.88671875" defaultRowHeight="14.4" x14ac:dyDescent="0.3"/>
  <cols>
    <col min="1" max="1" width="21" customWidth="1"/>
    <col min="2" max="2" width="24" customWidth="1"/>
    <col min="3" max="4" width="25" customWidth="1"/>
    <col min="5" max="8" width="18" customWidth="1"/>
  </cols>
  <sheetData>
    <row r="1" spans="1:8" ht="28.05" customHeight="1" x14ac:dyDescent="0.3">
      <c r="A1" s="37" t="s">
        <v>0</v>
      </c>
      <c r="B1" s="38"/>
      <c r="C1" s="38"/>
      <c r="D1" s="38"/>
      <c r="E1" s="38"/>
      <c r="F1" s="38"/>
      <c r="G1" s="38"/>
      <c r="H1" s="38"/>
    </row>
    <row r="2" spans="1:8" ht="16.05" customHeight="1" x14ac:dyDescent="0.3">
      <c r="A2" s="38"/>
      <c r="B2" s="38"/>
      <c r="C2" s="38"/>
      <c r="D2" s="38"/>
      <c r="E2" s="38"/>
      <c r="F2" s="38"/>
      <c r="G2" s="38"/>
      <c r="H2" s="38"/>
    </row>
    <row r="3" spans="1:8" ht="28.05" customHeight="1" x14ac:dyDescent="0.3">
      <c r="A3" s="36" t="s">
        <v>1</v>
      </c>
      <c r="B3" s="29"/>
      <c r="C3" s="29"/>
      <c r="D3" s="29"/>
      <c r="E3" s="29"/>
      <c r="F3" s="29"/>
      <c r="G3" s="29"/>
      <c r="H3" s="29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ht="15.6" x14ac:dyDescent="0.3">
      <c r="A5" s="35" t="s">
        <v>2</v>
      </c>
      <c r="B5" s="29"/>
      <c r="C5" s="29"/>
      <c r="D5" s="29"/>
      <c r="E5" s="29"/>
      <c r="F5" s="29"/>
      <c r="G5" s="29"/>
      <c r="H5" s="29"/>
    </row>
    <row r="6" spans="1:8" ht="28.05" customHeight="1" x14ac:dyDescent="0.3">
      <c r="A6" s="2" t="s">
        <v>3</v>
      </c>
      <c r="B6" s="34" t="s">
        <v>4</v>
      </c>
      <c r="C6" s="29"/>
      <c r="D6" s="29"/>
      <c r="E6" s="29"/>
      <c r="F6" s="29"/>
      <c r="G6" s="29"/>
      <c r="H6" s="29"/>
    </row>
    <row r="7" spans="1:8" ht="28.05" customHeight="1" x14ac:dyDescent="0.3">
      <c r="A7" s="2" t="s">
        <v>5</v>
      </c>
      <c r="B7" s="32" t="s">
        <v>6</v>
      </c>
      <c r="C7" s="29"/>
      <c r="D7" s="29"/>
      <c r="E7" s="29"/>
      <c r="F7" s="29"/>
      <c r="G7" s="29"/>
      <c r="H7" s="29"/>
    </row>
    <row r="8" spans="1:8" ht="28.05" customHeight="1" x14ac:dyDescent="0.3">
      <c r="A8" s="2" t="s">
        <v>7</v>
      </c>
      <c r="B8" s="34" t="s">
        <v>8</v>
      </c>
      <c r="C8" s="29"/>
      <c r="D8" s="29"/>
      <c r="E8" s="29"/>
      <c r="F8" s="29"/>
      <c r="G8" s="29"/>
      <c r="H8" s="29"/>
    </row>
    <row r="9" spans="1:8" ht="28.05" customHeight="1" x14ac:dyDescent="0.3">
      <c r="A9" s="2" t="s">
        <v>9</v>
      </c>
      <c r="B9" s="32" t="s">
        <v>10</v>
      </c>
      <c r="C9" s="29"/>
      <c r="D9" s="29"/>
      <c r="E9" s="29"/>
      <c r="F9" s="29"/>
      <c r="G9" s="29"/>
      <c r="H9" s="29"/>
    </row>
    <row r="10" spans="1:8" ht="28.05" customHeight="1" x14ac:dyDescent="0.3">
      <c r="A10" s="2" t="s">
        <v>11</v>
      </c>
      <c r="B10" s="34" t="s">
        <v>12</v>
      </c>
      <c r="C10" s="29"/>
      <c r="D10" s="29"/>
      <c r="E10" s="29"/>
      <c r="F10" s="29"/>
      <c r="G10" s="29"/>
      <c r="H10" s="29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ht="15.6" x14ac:dyDescent="0.3">
      <c r="A12" s="35" t="s">
        <v>13</v>
      </c>
      <c r="B12" s="29"/>
      <c r="C12" s="29"/>
      <c r="D12" s="29"/>
      <c r="E12" s="29"/>
      <c r="F12" s="29"/>
      <c r="G12" s="29"/>
      <c r="H12" s="29"/>
    </row>
    <row r="13" spans="1:8" ht="27" customHeight="1" x14ac:dyDescent="0.3">
      <c r="A13" s="40" t="s">
        <v>14</v>
      </c>
      <c r="B13" s="29"/>
      <c r="C13" s="30" t="s">
        <v>15</v>
      </c>
      <c r="D13" s="29"/>
      <c r="E13" s="29"/>
      <c r="F13" s="29"/>
      <c r="G13" s="29"/>
      <c r="H13" s="29"/>
    </row>
    <row r="14" spans="1:8" ht="27" customHeight="1" x14ac:dyDescent="0.3">
      <c r="A14" s="31" t="s">
        <v>16</v>
      </c>
      <c r="B14" s="29"/>
      <c r="C14" s="30" t="s">
        <v>17</v>
      </c>
      <c r="D14" s="29"/>
      <c r="E14" s="29"/>
      <c r="F14" s="29"/>
      <c r="G14" s="29"/>
      <c r="H14" s="29"/>
    </row>
    <row r="15" spans="1:8" ht="27" customHeight="1" x14ac:dyDescent="0.3">
      <c r="A15" s="31" t="s">
        <v>18</v>
      </c>
      <c r="B15" s="29"/>
      <c r="C15" s="30" t="s">
        <v>19</v>
      </c>
      <c r="D15" s="29"/>
      <c r="E15" s="29"/>
      <c r="F15" s="29"/>
      <c r="G15" s="29"/>
      <c r="H15" s="29"/>
    </row>
    <row r="16" spans="1:8" ht="27" customHeight="1" x14ac:dyDescent="0.3">
      <c r="A16" s="31" t="s">
        <v>20</v>
      </c>
      <c r="B16" s="29"/>
      <c r="C16" s="30" t="s">
        <v>21</v>
      </c>
      <c r="D16" s="29"/>
      <c r="E16" s="29"/>
      <c r="F16" s="29"/>
      <c r="G16" s="29"/>
      <c r="H16" s="29"/>
    </row>
    <row r="17" spans="1:8" ht="27" customHeight="1" x14ac:dyDescent="0.3">
      <c r="A17" s="31" t="s">
        <v>22</v>
      </c>
      <c r="B17" s="29"/>
      <c r="C17" s="30" t="s">
        <v>23</v>
      </c>
      <c r="D17" s="29"/>
      <c r="E17" s="29"/>
      <c r="F17" s="29"/>
      <c r="G17" s="29"/>
      <c r="H17" s="29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ht="15.6" x14ac:dyDescent="0.3">
      <c r="A19" s="35" t="s">
        <v>24</v>
      </c>
      <c r="B19" s="29"/>
      <c r="C19" s="29"/>
      <c r="D19" s="29"/>
      <c r="E19" s="29"/>
      <c r="F19" s="29"/>
      <c r="G19" s="29"/>
      <c r="H19" s="29"/>
    </row>
    <row r="20" spans="1:8" ht="31.95" customHeight="1" x14ac:dyDescent="0.3">
      <c r="A20" s="3" t="s">
        <v>25</v>
      </c>
      <c r="B20" s="3" t="s">
        <v>26</v>
      </c>
      <c r="C20" s="3" t="s">
        <v>27</v>
      </c>
      <c r="D20" s="3" t="s">
        <v>28</v>
      </c>
      <c r="E20" s="3" t="s">
        <v>29</v>
      </c>
      <c r="F20" s="3" t="s">
        <v>30</v>
      </c>
      <c r="G20" s="39" t="s">
        <v>31</v>
      </c>
      <c r="H20" s="29"/>
    </row>
    <row r="21" spans="1:8" ht="58.05" customHeight="1" x14ac:dyDescent="0.3">
      <c r="A21" s="5" t="s">
        <v>18</v>
      </c>
      <c r="B21" s="5" t="s">
        <v>32</v>
      </c>
      <c r="C21" s="5" t="s">
        <v>33</v>
      </c>
      <c r="D21" s="5" t="s">
        <v>34</v>
      </c>
      <c r="E21" s="6">
        <v>46315</v>
      </c>
      <c r="F21" s="6">
        <v>46314</v>
      </c>
      <c r="G21" s="28" t="s">
        <v>35</v>
      </c>
      <c r="H21" s="29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ht="15.6" x14ac:dyDescent="0.3">
      <c r="A23" s="35" t="s">
        <v>36</v>
      </c>
      <c r="B23" s="29"/>
      <c r="C23" s="29"/>
      <c r="D23" s="29"/>
      <c r="E23" s="29"/>
      <c r="F23" s="29"/>
      <c r="G23" s="29"/>
      <c r="H23" s="29"/>
    </row>
    <row r="24" spans="1:8" ht="30" customHeight="1" x14ac:dyDescent="0.3">
      <c r="A24" s="33" t="s">
        <v>37</v>
      </c>
      <c r="B24" s="29"/>
      <c r="C24" s="29"/>
      <c r="D24" s="29"/>
      <c r="E24" s="29"/>
      <c r="F24" s="29"/>
      <c r="G24" s="29"/>
      <c r="H24" s="29"/>
    </row>
    <row r="25" spans="1:8" ht="30" customHeight="1" x14ac:dyDescent="0.3">
      <c r="A25" s="32" t="s">
        <v>38</v>
      </c>
      <c r="B25" s="29"/>
      <c r="C25" s="29"/>
      <c r="D25" s="29"/>
      <c r="E25" s="29"/>
      <c r="F25" s="29"/>
      <c r="G25" s="29"/>
      <c r="H25" s="29"/>
    </row>
    <row r="26" spans="1:8" ht="30" customHeight="1" x14ac:dyDescent="0.3">
      <c r="A26" s="33" t="s">
        <v>39</v>
      </c>
      <c r="B26" s="29"/>
      <c r="C26" s="29"/>
      <c r="D26" s="29"/>
      <c r="E26" s="29"/>
      <c r="F26" s="29"/>
      <c r="G26" s="29"/>
      <c r="H26" s="29"/>
    </row>
    <row r="27" spans="1:8" ht="30" customHeight="1" x14ac:dyDescent="0.3">
      <c r="A27" s="32" t="s">
        <v>40</v>
      </c>
      <c r="B27" s="29"/>
      <c r="C27" s="29"/>
      <c r="D27" s="29"/>
      <c r="E27" s="29"/>
      <c r="F27" s="29"/>
      <c r="G27" s="29"/>
      <c r="H27" s="29"/>
    </row>
  </sheetData>
  <autoFilter ref="A20:H21" xr:uid="{00000000-0009-0000-0000-000000000000}"/>
  <mergeCells count="27">
    <mergeCell ref="A1:H2"/>
    <mergeCell ref="A23:H23"/>
    <mergeCell ref="C15:H15"/>
    <mergeCell ref="B8:H8"/>
    <mergeCell ref="G20:H20"/>
    <mergeCell ref="C14:H14"/>
    <mergeCell ref="A13:B13"/>
    <mergeCell ref="A19:H19"/>
    <mergeCell ref="B10:H10"/>
    <mergeCell ref="A27:H27"/>
    <mergeCell ref="A12:H12"/>
    <mergeCell ref="A3:H3"/>
    <mergeCell ref="A26:H26"/>
    <mergeCell ref="C13:H13"/>
    <mergeCell ref="A14:B14"/>
    <mergeCell ref="A5:H5"/>
    <mergeCell ref="A17:B17"/>
    <mergeCell ref="B6:H6"/>
    <mergeCell ref="A16:B16"/>
    <mergeCell ref="A25:H25"/>
    <mergeCell ref="B7:H7"/>
    <mergeCell ref="C17:H17"/>
    <mergeCell ref="G21:H21"/>
    <mergeCell ref="C16:H16"/>
    <mergeCell ref="A15:B15"/>
    <mergeCell ref="B9:H9"/>
    <mergeCell ref="A24:H24"/>
  </mergeCells>
  <pageMargins left="0.75" right="0.75" top="1" bottom="1" header="0.5" footer="0.5"/>
  <pageSetup fitToHeight="0" orientation="landscape"/>
  <headerFooter>
    <oddHeader>&amp;C&amp;8 &amp;K666666CyberFlow | Validación interna</oddHeader>
    <oddFooter>&amp;L&amp;8 Documento de trabajo&amp;C&amp;8 Página &amp;P de &amp;N&amp;R&amp;8 15/10/2026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5"/>
  <sheetViews>
    <sheetView showGridLines="0" workbookViewId="0">
      <pane xSplit="6" ySplit="7" topLeftCell="G8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2" customWidth="1"/>
    <col min="2" max="2" width="16" customWidth="1"/>
    <col min="3" max="3" width="26" customWidth="1"/>
    <col min="4" max="4" width="27" customWidth="1"/>
    <col min="5" max="5" width="12" customWidth="1"/>
    <col min="6" max="6" width="24" customWidth="1"/>
    <col min="7" max="7" width="55" customWidth="1"/>
    <col min="8" max="8" width="45" customWidth="1"/>
    <col min="9" max="9" width="52" customWidth="1"/>
    <col min="10" max="10" width="62" customWidth="1"/>
    <col min="11" max="11" width="66" customWidth="1"/>
    <col min="12" max="12" width="55" customWidth="1"/>
    <col min="13" max="13" width="38" customWidth="1"/>
    <col min="14" max="14" width="12" customWidth="1"/>
    <col min="15" max="15" width="22" customWidth="1"/>
    <col min="16" max="16" width="50" customWidth="1"/>
    <col min="17" max="17" width="40" customWidth="1"/>
    <col min="18" max="18" width="24" customWidth="1"/>
    <col min="19" max="19" width="17" customWidth="1"/>
    <col min="20" max="20" width="15" customWidth="1"/>
  </cols>
  <sheetData>
    <row r="1" spans="1:20" ht="28.05" customHeight="1" x14ac:dyDescent="0.3">
      <c r="A1" s="37" t="s">
        <v>41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16.0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</row>
    <row r="3" spans="1:20" ht="28.05" customHeight="1" x14ac:dyDescent="0.3">
      <c r="A3" s="36" t="s">
        <v>42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</row>
    <row r="4" spans="1:20" ht="30" customHeight="1" x14ac:dyDescent="0.3">
      <c r="A4" s="42" t="s">
        <v>43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ht="25.05" customHeight="1" x14ac:dyDescent="0.3">
      <c r="A5" s="41" t="s">
        <v>44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0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46.05" customHeight="1" x14ac:dyDescent="0.3">
      <c r="A7" s="7" t="s">
        <v>45</v>
      </c>
      <c r="B7" s="7" t="s">
        <v>46</v>
      </c>
      <c r="C7" s="7" t="s">
        <v>47</v>
      </c>
      <c r="D7" s="7" t="s">
        <v>48</v>
      </c>
      <c r="E7" s="7" t="s">
        <v>49</v>
      </c>
      <c r="F7" s="7" t="s">
        <v>50</v>
      </c>
      <c r="G7" s="7" t="s">
        <v>51</v>
      </c>
      <c r="H7" s="7" t="s">
        <v>52</v>
      </c>
      <c r="I7" s="7" t="s">
        <v>53</v>
      </c>
      <c r="J7" s="7" t="s">
        <v>54</v>
      </c>
      <c r="K7" s="7" t="s">
        <v>55</v>
      </c>
      <c r="L7" s="7" t="s">
        <v>56</v>
      </c>
      <c r="M7" s="7" t="s">
        <v>57</v>
      </c>
      <c r="N7" s="7" t="s">
        <v>58</v>
      </c>
      <c r="O7" s="7" t="s">
        <v>25</v>
      </c>
      <c r="P7" s="7" t="s">
        <v>26</v>
      </c>
      <c r="Q7" s="7" t="s">
        <v>27</v>
      </c>
      <c r="R7" s="7" t="s">
        <v>28</v>
      </c>
      <c r="S7" s="7" t="s">
        <v>29</v>
      </c>
      <c r="T7" s="7" t="s">
        <v>30</v>
      </c>
    </row>
    <row r="8" spans="1:20" ht="145.05000000000001" customHeight="1" x14ac:dyDescent="0.3">
      <c r="A8" s="8" t="s">
        <v>59</v>
      </c>
      <c r="B8" s="9" t="s">
        <v>60</v>
      </c>
      <c r="C8" s="9" t="s">
        <v>61</v>
      </c>
      <c r="D8" s="9" t="s">
        <v>62</v>
      </c>
      <c r="E8" s="10" t="s">
        <v>63</v>
      </c>
      <c r="F8" s="9" t="s">
        <v>64</v>
      </c>
      <c r="G8" s="9" t="s">
        <v>65</v>
      </c>
      <c r="H8" s="9" t="s">
        <v>66</v>
      </c>
      <c r="I8" s="9" t="s">
        <v>67</v>
      </c>
      <c r="J8" s="9" t="s">
        <v>68</v>
      </c>
      <c r="K8" s="9" t="s">
        <v>69</v>
      </c>
      <c r="L8" s="9" t="s">
        <v>70</v>
      </c>
      <c r="M8" s="9" t="s">
        <v>71</v>
      </c>
      <c r="N8" s="10" t="s">
        <v>72</v>
      </c>
      <c r="O8" s="11" t="s">
        <v>16</v>
      </c>
      <c r="P8" s="12"/>
      <c r="Q8" s="12"/>
      <c r="R8" s="12"/>
      <c r="S8" s="13"/>
      <c r="T8" s="13"/>
    </row>
    <row r="9" spans="1:20" ht="145.05000000000001" customHeight="1" x14ac:dyDescent="0.3">
      <c r="A9" s="14" t="s">
        <v>73</v>
      </c>
      <c r="B9" s="15" t="s">
        <v>60</v>
      </c>
      <c r="C9" s="15" t="s">
        <v>61</v>
      </c>
      <c r="D9" s="15" t="s">
        <v>62</v>
      </c>
      <c r="E9" s="16" t="s">
        <v>74</v>
      </c>
      <c r="F9" s="15" t="s">
        <v>75</v>
      </c>
      <c r="G9" s="15" t="s">
        <v>76</v>
      </c>
      <c r="H9" s="15" t="s">
        <v>77</v>
      </c>
      <c r="I9" s="15" t="s">
        <v>78</v>
      </c>
      <c r="J9" s="15" t="s">
        <v>79</v>
      </c>
      <c r="K9" s="15" t="s">
        <v>80</v>
      </c>
      <c r="L9" s="15" t="s">
        <v>81</v>
      </c>
      <c r="M9" s="15" t="s">
        <v>82</v>
      </c>
      <c r="N9" s="16" t="s">
        <v>72</v>
      </c>
      <c r="O9" s="11" t="s">
        <v>16</v>
      </c>
      <c r="P9" s="12"/>
      <c r="Q9" s="12"/>
      <c r="R9" s="12"/>
      <c r="S9" s="13"/>
      <c r="T9" s="13"/>
    </row>
    <row r="10" spans="1:20" ht="145.05000000000001" customHeight="1" x14ac:dyDescent="0.3">
      <c r="A10" s="8" t="s">
        <v>83</v>
      </c>
      <c r="B10" s="9" t="s">
        <v>60</v>
      </c>
      <c r="C10" s="9" t="s">
        <v>61</v>
      </c>
      <c r="D10" s="9" t="s">
        <v>62</v>
      </c>
      <c r="E10" s="10" t="s">
        <v>84</v>
      </c>
      <c r="F10" s="9" t="s">
        <v>85</v>
      </c>
      <c r="G10" s="9" t="s">
        <v>86</v>
      </c>
      <c r="H10" s="9" t="s">
        <v>87</v>
      </c>
      <c r="I10" s="9" t="s">
        <v>88</v>
      </c>
      <c r="J10" s="9" t="s">
        <v>89</v>
      </c>
      <c r="K10" s="9" t="s">
        <v>90</v>
      </c>
      <c r="L10" s="9" t="s">
        <v>91</v>
      </c>
      <c r="M10" s="9" t="s">
        <v>92</v>
      </c>
      <c r="N10" s="10" t="s">
        <v>93</v>
      </c>
      <c r="O10" s="11" t="s">
        <v>16</v>
      </c>
      <c r="P10" s="12"/>
      <c r="Q10" s="12"/>
      <c r="R10" s="12"/>
      <c r="S10" s="13"/>
      <c r="T10" s="13"/>
    </row>
    <row r="11" spans="1:20" ht="145.05000000000001" customHeight="1" x14ac:dyDescent="0.3">
      <c r="A11" s="14" t="s">
        <v>94</v>
      </c>
      <c r="B11" s="15" t="s">
        <v>60</v>
      </c>
      <c r="C11" s="15" t="s">
        <v>61</v>
      </c>
      <c r="D11" s="15" t="s">
        <v>62</v>
      </c>
      <c r="E11" s="16" t="s">
        <v>95</v>
      </c>
      <c r="F11" s="15" t="s">
        <v>96</v>
      </c>
      <c r="G11" s="15" t="s">
        <v>97</v>
      </c>
      <c r="H11" s="15" t="s">
        <v>98</v>
      </c>
      <c r="I11" s="15" t="s">
        <v>99</v>
      </c>
      <c r="J11" s="15" t="s">
        <v>100</v>
      </c>
      <c r="K11" s="15" t="s">
        <v>101</v>
      </c>
      <c r="L11" s="15" t="s">
        <v>102</v>
      </c>
      <c r="M11" s="15" t="s">
        <v>103</v>
      </c>
      <c r="N11" s="16" t="s">
        <v>72</v>
      </c>
      <c r="O11" s="11" t="s">
        <v>16</v>
      </c>
      <c r="P11" s="12"/>
      <c r="Q11" s="12"/>
      <c r="R11" s="12"/>
      <c r="S11" s="13"/>
      <c r="T11" s="13"/>
    </row>
    <row r="12" spans="1:20" ht="145.05000000000001" customHeight="1" x14ac:dyDescent="0.3">
      <c r="A12" s="8" t="s">
        <v>104</v>
      </c>
      <c r="B12" s="9" t="s">
        <v>60</v>
      </c>
      <c r="C12" s="9" t="s">
        <v>61</v>
      </c>
      <c r="D12" s="9" t="s">
        <v>62</v>
      </c>
      <c r="E12" s="10" t="s">
        <v>105</v>
      </c>
      <c r="F12" s="9" t="s">
        <v>106</v>
      </c>
      <c r="G12" s="9" t="s">
        <v>107</v>
      </c>
      <c r="H12" s="9" t="s">
        <v>108</v>
      </c>
      <c r="I12" s="9" t="s">
        <v>109</v>
      </c>
      <c r="J12" s="9" t="s">
        <v>110</v>
      </c>
      <c r="K12" s="9" t="s">
        <v>111</v>
      </c>
      <c r="L12" s="9" t="s">
        <v>112</v>
      </c>
      <c r="M12" s="9" t="s">
        <v>113</v>
      </c>
      <c r="N12" s="10" t="s">
        <v>72</v>
      </c>
      <c r="O12" s="11" t="s">
        <v>16</v>
      </c>
      <c r="P12" s="12"/>
      <c r="Q12" s="12"/>
      <c r="R12" s="12"/>
      <c r="S12" s="13"/>
      <c r="T12" s="13"/>
    </row>
    <row r="13" spans="1:20" ht="145.05000000000001" customHeight="1" x14ac:dyDescent="0.3">
      <c r="A13" s="14" t="s">
        <v>114</v>
      </c>
      <c r="B13" s="15" t="s">
        <v>60</v>
      </c>
      <c r="C13" s="15" t="s">
        <v>61</v>
      </c>
      <c r="D13" s="15" t="s">
        <v>62</v>
      </c>
      <c r="E13" s="16" t="s">
        <v>115</v>
      </c>
      <c r="F13" s="15" t="s">
        <v>116</v>
      </c>
      <c r="G13" s="15" t="s">
        <v>117</v>
      </c>
      <c r="H13" s="15" t="s">
        <v>118</v>
      </c>
      <c r="I13" s="15" t="s">
        <v>119</v>
      </c>
      <c r="J13" s="15" t="s">
        <v>120</v>
      </c>
      <c r="K13" s="15" t="s">
        <v>121</v>
      </c>
      <c r="L13" s="15" t="s">
        <v>122</v>
      </c>
      <c r="M13" s="15" t="s">
        <v>123</v>
      </c>
      <c r="N13" s="16" t="s">
        <v>93</v>
      </c>
      <c r="O13" s="11" t="s">
        <v>16</v>
      </c>
      <c r="P13" s="12"/>
      <c r="Q13" s="12"/>
      <c r="R13" s="12"/>
      <c r="S13" s="13"/>
      <c r="T13" s="13"/>
    </row>
    <row r="14" spans="1:20" ht="145.05000000000001" customHeight="1" x14ac:dyDescent="0.3">
      <c r="A14" s="8" t="s">
        <v>124</v>
      </c>
      <c r="B14" s="9" t="s">
        <v>60</v>
      </c>
      <c r="C14" s="9" t="s">
        <v>61</v>
      </c>
      <c r="D14" s="9" t="s">
        <v>62</v>
      </c>
      <c r="E14" s="10" t="s">
        <v>125</v>
      </c>
      <c r="F14" s="9" t="s">
        <v>126</v>
      </c>
      <c r="G14" s="9" t="s">
        <v>127</v>
      </c>
      <c r="H14" s="9" t="s">
        <v>128</v>
      </c>
      <c r="I14" s="9" t="s">
        <v>129</v>
      </c>
      <c r="J14" s="9" t="s">
        <v>130</v>
      </c>
      <c r="K14" s="9" t="s">
        <v>131</v>
      </c>
      <c r="L14" s="9" t="s">
        <v>132</v>
      </c>
      <c r="M14" s="9" t="s">
        <v>133</v>
      </c>
      <c r="N14" s="10" t="s">
        <v>93</v>
      </c>
      <c r="O14" s="11" t="s">
        <v>16</v>
      </c>
      <c r="P14" s="12"/>
      <c r="Q14" s="12"/>
      <c r="R14" s="12"/>
      <c r="S14" s="13"/>
      <c r="T14" s="13"/>
    </row>
    <row r="15" spans="1:20" ht="145.05000000000001" customHeight="1" x14ac:dyDescent="0.3">
      <c r="A15" s="14" t="s">
        <v>134</v>
      </c>
      <c r="B15" s="15" t="s">
        <v>60</v>
      </c>
      <c r="C15" s="15" t="s">
        <v>135</v>
      </c>
      <c r="D15" s="15" t="s">
        <v>136</v>
      </c>
      <c r="E15" s="16" t="s">
        <v>137</v>
      </c>
      <c r="F15" s="15" t="s">
        <v>138</v>
      </c>
      <c r="G15" s="15" t="s">
        <v>139</v>
      </c>
      <c r="H15" s="15" t="s">
        <v>140</v>
      </c>
      <c r="I15" s="15" t="s">
        <v>141</v>
      </c>
      <c r="J15" s="15" t="s">
        <v>142</v>
      </c>
      <c r="K15" s="15" t="s">
        <v>143</v>
      </c>
      <c r="L15" s="15" t="s">
        <v>144</v>
      </c>
      <c r="M15" s="15" t="s">
        <v>145</v>
      </c>
      <c r="N15" s="16" t="s">
        <v>93</v>
      </c>
      <c r="O15" s="11" t="s">
        <v>16</v>
      </c>
      <c r="P15" s="12"/>
      <c r="Q15" s="12"/>
      <c r="R15" s="12"/>
      <c r="S15" s="13"/>
      <c r="T15" s="13"/>
    </row>
    <row r="16" spans="1:20" ht="145.05000000000001" customHeight="1" x14ac:dyDescent="0.3">
      <c r="A16" s="8" t="s">
        <v>146</v>
      </c>
      <c r="B16" s="9" t="s">
        <v>60</v>
      </c>
      <c r="C16" s="9" t="s">
        <v>135</v>
      </c>
      <c r="D16" s="9" t="s">
        <v>136</v>
      </c>
      <c r="E16" s="10" t="s">
        <v>147</v>
      </c>
      <c r="F16" s="9" t="s">
        <v>148</v>
      </c>
      <c r="G16" s="9" t="s">
        <v>149</v>
      </c>
      <c r="H16" s="9" t="s">
        <v>150</v>
      </c>
      <c r="I16" s="9" t="s">
        <v>151</v>
      </c>
      <c r="J16" s="9" t="s">
        <v>152</v>
      </c>
      <c r="K16" s="9" t="s">
        <v>153</v>
      </c>
      <c r="L16" s="9" t="s">
        <v>154</v>
      </c>
      <c r="M16" s="9" t="s">
        <v>155</v>
      </c>
      <c r="N16" s="10" t="s">
        <v>156</v>
      </c>
      <c r="O16" s="11" t="s">
        <v>16</v>
      </c>
      <c r="P16" s="12"/>
      <c r="Q16" s="12"/>
      <c r="R16" s="12"/>
      <c r="S16" s="13"/>
      <c r="T16" s="13"/>
    </row>
    <row r="17" spans="1:20" ht="145.05000000000001" customHeight="1" x14ac:dyDescent="0.3">
      <c r="A17" s="14" t="s">
        <v>157</v>
      </c>
      <c r="B17" s="15" t="s">
        <v>158</v>
      </c>
      <c r="C17" s="15" t="s">
        <v>135</v>
      </c>
      <c r="D17" s="15" t="s">
        <v>136</v>
      </c>
      <c r="E17" s="16" t="s">
        <v>159</v>
      </c>
      <c r="F17" s="15" t="s">
        <v>160</v>
      </c>
      <c r="G17" s="15" t="s">
        <v>161</v>
      </c>
      <c r="H17" s="15" t="s">
        <v>162</v>
      </c>
      <c r="I17" s="15" t="s">
        <v>163</v>
      </c>
      <c r="J17" s="15" t="s">
        <v>164</v>
      </c>
      <c r="K17" s="15" t="s">
        <v>165</v>
      </c>
      <c r="L17" s="15" t="s">
        <v>166</v>
      </c>
      <c r="M17" s="15" t="s">
        <v>167</v>
      </c>
      <c r="N17" s="16" t="s">
        <v>168</v>
      </c>
      <c r="O17" s="11" t="s">
        <v>22</v>
      </c>
      <c r="P17" s="12"/>
      <c r="Q17" s="12"/>
      <c r="R17" s="12"/>
      <c r="S17" s="13"/>
      <c r="T17" s="13"/>
    </row>
    <row r="18" spans="1:20" ht="145.05000000000001" customHeight="1" x14ac:dyDescent="0.3">
      <c r="A18" s="8" t="s">
        <v>169</v>
      </c>
      <c r="B18" s="9" t="s">
        <v>60</v>
      </c>
      <c r="C18" s="9" t="s">
        <v>170</v>
      </c>
      <c r="D18" s="9" t="s">
        <v>171</v>
      </c>
      <c r="E18" s="10" t="s">
        <v>172</v>
      </c>
      <c r="F18" s="9" t="s">
        <v>173</v>
      </c>
      <c r="G18" s="9" t="s">
        <v>174</v>
      </c>
      <c r="H18" s="9" t="s">
        <v>175</v>
      </c>
      <c r="I18" s="9" t="s">
        <v>176</v>
      </c>
      <c r="J18" s="9" t="s">
        <v>177</v>
      </c>
      <c r="K18" s="9" t="s">
        <v>178</v>
      </c>
      <c r="L18" s="9" t="s">
        <v>179</v>
      </c>
      <c r="M18" s="9" t="s">
        <v>180</v>
      </c>
      <c r="N18" s="10" t="s">
        <v>93</v>
      </c>
      <c r="O18" s="11" t="s">
        <v>16</v>
      </c>
      <c r="P18" s="12"/>
      <c r="Q18" s="12"/>
      <c r="R18" s="12"/>
      <c r="S18" s="13"/>
      <c r="T18" s="13"/>
    </row>
    <row r="19" spans="1:20" ht="145.05000000000001" customHeight="1" x14ac:dyDescent="0.3">
      <c r="A19" s="14" t="s">
        <v>181</v>
      </c>
      <c r="B19" s="15" t="s">
        <v>60</v>
      </c>
      <c r="C19" s="15" t="s">
        <v>170</v>
      </c>
      <c r="D19" s="15" t="s">
        <v>171</v>
      </c>
      <c r="E19" s="16" t="s">
        <v>182</v>
      </c>
      <c r="F19" s="15" t="s">
        <v>183</v>
      </c>
      <c r="G19" s="15" t="s">
        <v>184</v>
      </c>
      <c r="H19" s="15" t="s">
        <v>185</v>
      </c>
      <c r="I19" s="15" t="s">
        <v>186</v>
      </c>
      <c r="J19" s="15" t="s">
        <v>187</v>
      </c>
      <c r="K19" s="15" t="s">
        <v>188</v>
      </c>
      <c r="L19" s="15" t="s">
        <v>189</v>
      </c>
      <c r="M19" s="15" t="s">
        <v>190</v>
      </c>
      <c r="N19" s="16" t="s">
        <v>72</v>
      </c>
      <c r="O19" s="11" t="s">
        <v>16</v>
      </c>
      <c r="P19" s="12"/>
      <c r="Q19" s="12"/>
      <c r="R19" s="12"/>
      <c r="S19" s="13"/>
      <c r="T19" s="13"/>
    </row>
    <row r="20" spans="1:20" ht="145.05000000000001" customHeight="1" x14ac:dyDescent="0.3">
      <c r="A20" s="8" t="s">
        <v>191</v>
      </c>
      <c r="B20" s="9" t="s">
        <v>60</v>
      </c>
      <c r="C20" s="9" t="s">
        <v>170</v>
      </c>
      <c r="D20" s="9" t="s">
        <v>171</v>
      </c>
      <c r="E20" s="10" t="s">
        <v>192</v>
      </c>
      <c r="F20" s="9" t="s">
        <v>193</v>
      </c>
      <c r="G20" s="9" t="s">
        <v>194</v>
      </c>
      <c r="H20" s="9" t="s">
        <v>195</v>
      </c>
      <c r="I20" s="9" t="s">
        <v>196</v>
      </c>
      <c r="J20" s="9" t="s">
        <v>197</v>
      </c>
      <c r="K20" s="9" t="s">
        <v>198</v>
      </c>
      <c r="L20" s="9" t="s">
        <v>199</v>
      </c>
      <c r="M20" s="9" t="s">
        <v>200</v>
      </c>
      <c r="N20" s="10" t="s">
        <v>93</v>
      </c>
      <c r="O20" s="11" t="s">
        <v>16</v>
      </c>
      <c r="P20" s="12"/>
      <c r="Q20" s="12"/>
      <c r="R20" s="12"/>
      <c r="S20" s="13"/>
      <c r="T20" s="13"/>
    </row>
    <row r="21" spans="1:20" ht="145.05000000000001" customHeight="1" x14ac:dyDescent="0.3">
      <c r="A21" s="14" t="s">
        <v>201</v>
      </c>
      <c r="B21" s="15" t="s">
        <v>60</v>
      </c>
      <c r="C21" s="15" t="s">
        <v>170</v>
      </c>
      <c r="D21" s="15" t="s">
        <v>171</v>
      </c>
      <c r="E21" s="16" t="s">
        <v>202</v>
      </c>
      <c r="F21" s="15" t="s">
        <v>203</v>
      </c>
      <c r="G21" s="15" t="s">
        <v>204</v>
      </c>
      <c r="H21" s="15" t="s">
        <v>205</v>
      </c>
      <c r="I21" s="15" t="s">
        <v>206</v>
      </c>
      <c r="J21" s="15" t="s">
        <v>207</v>
      </c>
      <c r="K21" s="15" t="s">
        <v>208</v>
      </c>
      <c r="L21" s="15" t="s">
        <v>209</v>
      </c>
      <c r="M21" s="15" t="s">
        <v>210</v>
      </c>
      <c r="N21" s="16" t="s">
        <v>156</v>
      </c>
      <c r="O21" s="11" t="s">
        <v>16</v>
      </c>
      <c r="P21" s="12"/>
      <c r="Q21" s="12"/>
      <c r="R21" s="12"/>
      <c r="S21" s="13"/>
      <c r="T21" s="13"/>
    </row>
    <row r="22" spans="1:20" ht="145.05000000000001" customHeight="1" x14ac:dyDescent="0.3">
      <c r="A22" s="8" t="s">
        <v>211</v>
      </c>
      <c r="B22" s="9" t="s">
        <v>212</v>
      </c>
      <c r="C22" s="9" t="s">
        <v>213</v>
      </c>
      <c r="D22" s="9" t="s">
        <v>214</v>
      </c>
      <c r="E22" s="10" t="s">
        <v>215</v>
      </c>
      <c r="F22" s="9" t="s">
        <v>216</v>
      </c>
      <c r="G22" s="9" t="s">
        <v>217</v>
      </c>
      <c r="H22" s="9" t="s">
        <v>218</v>
      </c>
      <c r="I22" s="9" t="s">
        <v>219</v>
      </c>
      <c r="J22" s="9" t="s">
        <v>220</v>
      </c>
      <c r="K22" s="9" t="s">
        <v>221</v>
      </c>
      <c r="L22" s="9" t="s">
        <v>222</v>
      </c>
      <c r="M22" s="9" t="s">
        <v>223</v>
      </c>
      <c r="N22" s="10" t="s">
        <v>72</v>
      </c>
      <c r="O22" s="11" t="s">
        <v>16</v>
      </c>
      <c r="P22" s="12"/>
      <c r="Q22" s="12"/>
      <c r="R22" s="12"/>
      <c r="S22" s="13"/>
      <c r="T22" s="13"/>
    </row>
    <row r="23" spans="1:20" ht="145.05000000000001" customHeight="1" x14ac:dyDescent="0.3">
      <c r="A23" s="14" t="s">
        <v>224</v>
      </c>
      <c r="B23" s="15" t="s">
        <v>212</v>
      </c>
      <c r="C23" s="15" t="s">
        <v>213</v>
      </c>
      <c r="D23" s="15" t="s">
        <v>214</v>
      </c>
      <c r="E23" s="16" t="s">
        <v>225</v>
      </c>
      <c r="F23" s="15" t="s">
        <v>226</v>
      </c>
      <c r="G23" s="15" t="s">
        <v>227</v>
      </c>
      <c r="H23" s="15" t="s">
        <v>228</v>
      </c>
      <c r="I23" s="15" t="s">
        <v>229</v>
      </c>
      <c r="J23" s="15" t="s">
        <v>230</v>
      </c>
      <c r="K23" s="15" t="s">
        <v>231</v>
      </c>
      <c r="L23" s="15" t="s">
        <v>232</v>
      </c>
      <c r="M23" s="15" t="s">
        <v>233</v>
      </c>
      <c r="N23" s="16" t="s">
        <v>93</v>
      </c>
      <c r="O23" s="11" t="s">
        <v>16</v>
      </c>
      <c r="P23" s="12"/>
      <c r="Q23" s="12"/>
      <c r="R23" s="12"/>
      <c r="S23" s="13"/>
      <c r="T23" s="13"/>
    </row>
    <row r="24" spans="1:20" ht="145.05000000000001" customHeight="1" x14ac:dyDescent="0.3">
      <c r="A24" s="8" t="s">
        <v>234</v>
      </c>
      <c r="B24" s="9" t="s">
        <v>235</v>
      </c>
      <c r="C24" s="9" t="s">
        <v>236</v>
      </c>
      <c r="D24" s="9" t="s">
        <v>237</v>
      </c>
      <c r="E24" s="10" t="s">
        <v>238</v>
      </c>
      <c r="F24" s="9" t="s">
        <v>239</v>
      </c>
      <c r="G24" s="9" t="s">
        <v>240</v>
      </c>
      <c r="H24" s="9" t="s">
        <v>241</v>
      </c>
      <c r="I24" s="9" t="s">
        <v>242</v>
      </c>
      <c r="J24" s="9" t="s">
        <v>243</v>
      </c>
      <c r="K24" s="9" t="s">
        <v>244</v>
      </c>
      <c r="L24" s="9" t="s">
        <v>245</v>
      </c>
      <c r="M24" s="9" t="s">
        <v>246</v>
      </c>
      <c r="N24" s="10" t="s">
        <v>72</v>
      </c>
      <c r="O24" s="11" t="s">
        <v>16</v>
      </c>
      <c r="P24" s="12"/>
      <c r="Q24" s="12"/>
      <c r="R24" s="12"/>
      <c r="S24" s="13"/>
      <c r="T24" s="13"/>
    </row>
    <row r="25" spans="1:20" ht="145.05000000000001" customHeight="1" x14ac:dyDescent="0.3">
      <c r="A25" s="14" t="s">
        <v>247</v>
      </c>
      <c r="B25" s="15" t="s">
        <v>235</v>
      </c>
      <c r="C25" s="15" t="s">
        <v>236</v>
      </c>
      <c r="D25" s="15" t="s">
        <v>237</v>
      </c>
      <c r="E25" s="16" t="s">
        <v>248</v>
      </c>
      <c r="F25" s="15" t="s">
        <v>249</v>
      </c>
      <c r="G25" s="15" t="s">
        <v>250</v>
      </c>
      <c r="H25" s="15" t="s">
        <v>251</v>
      </c>
      <c r="I25" s="15" t="s">
        <v>252</v>
      </c>
      <c r="J25" s="15" t="s">
        <v>253</v>
      </c>
      <c r="K25" s="15" t="s">
        <v>254</v>
      </c>
      <c r="L25" s="15" t="s">
        <v>255</v>
      </c>
      <c r="M25" s="15" t="s">
        <v>256</v>
      </c>
      <c r="N25" s="16" t="s">
        <v>156</v>
      </c>
      <c r="O25" s="11" t="s">
        <v>16</v>
      </c>
      <c r="P25" s="12"/>
      <c r="Q25" s="12"/>
      <c r="R25" s="12"/>
      <c r="S25" s="13"/>
      <c r="T25" s="13"/>
    </row>
  </sheetData>
  <autoFilter ref="A7:T25" xr:uid="{00000000-0009-0000-0000-000001000000}"/>
  <mergeCells count="4">
    <mergeCell ref="A5:T5"/>
    <mergeCell ref="A1:T2"/>
    <mergeCell ref="A3:T3"/>
    <mergeCell ref="A4:T4"/>
  </mergeCells>
  <conditionalFormatting sqref="N8:N25">
    <cfRule type="expression" dxfId="8" priority="6">
      <formula>$N8="Crítica"</formula>
    </cfRule>
    <cfRule type="expression" dxfId="7" priority="7">
      <formula>$N8="Alta"</formula>
    </cfRule>
    <cfRule type="expression" dxfId="6" priority="8">
      <formula>$N8="Media"</formula>
    </cfRule>
    <cfRule type="expression" dxfId="5" priority="9">
      <formula>$N8="Baja"</formula>
    </cfRule>
  </conditionalFormatting>
  <conditionalFormatting sqref="O8:O25">
    <cfRule type="expression" dxfId="4" priority="1">
      <formula>$O8="Aplicado"</formula>
    </cfRule>
    <cfRule type="expression" dxfId="3" priority="2">
      <formula>$O8="Por aplicar"</formula>
    </cfRule>
    <cfRule type="expression" dxfId="2" priority="3">
      <formula>$O8="En propuesta"</formula>
    </cfRule>
    <cfRule type="expression" dxfId="1" priority="4">
      <formula>$O8="Descartado (justificado)"</formula>
    </cfRule>
    <cfRule type="expression" dxfId="0" priority="5">
      <formula>$O8="No aplica"</formula>
    </cfRule>
  </conditionalFormatting>
  <dataValidations count="2">
    <dataValidation type="list" sqref="O8:O200" xr:uid="{00000000-0002-0000-0100-000000000000}">
      <formula1>ListaEstados</formula1>
    </dataValidation>
    <dataValidation type="list" sqref="N8:N200" xr:uid="{00000000-0002-0000-0100-000001000000}">
      <formula1>ListaPrioridades</formula1>
    </dataValidation>
  </dataValidations>
  <pageMargins left="0.2" right="0.2" top="0.4" bottom="0.4" header="0.5" footer="0.5"/>
  <pageSetup fitToHeight="0" orientation="landscape"/>
  <headerFooter>
    <oddHeader>&amp;C&amp;8 &amp;K666666CyberFlow | Validación interna</oddHeader>
    <oddFooter>&amp;L&amp;8 Documento de trabajo&amp;C&amp;8 Página &amp;P de &amp;N&amp;R&amp;8 15/10/2026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8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16" customWidth="1"/>
    <col min="3" max="3" width="23" customWidth="1"/>
    <col min="4" max="4" width="18" customWidth="1"/>
    <col min="5" max="5" width="15" customWidth="1"/>
    <col min="6" max="6" width="4" customWidth="1"/>
    <col min="7" max="7" width="35" customWidth="1"/>
    <col min="8" max="8" width="15" customWidth="1"/>
    <col min="9" max="10" width="4" customWidth="1"/>
  </cols>
  <sheetData>
    <row r="1" spans="1:10" ht="28.05" customHeight="1" x14ac:dyDescent="0.3">
      <c r="A1" s="37" t="s">
        <v>257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6.05" customHeigh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</row>
    <row r="3" spans="1:10" ht="28.05" customHeight="1" x14ac:dyDescent="0.3">
      <c r="A3" s="36" t="s">
        <v>258</v>
      </c>
      <c r="B3" s="29"/>
      <c r="C3" s="29"/>
      <c r="D3" s="29"/>
      <c r="E3" s="29"/>
      <c r="F3" s="29"/>
      <c r="G3" s="29"/>
      <c r="H3" s="29"/>
      <c r="I3" s="29"/>
      <c r="J3" s="29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.6" x14ac:dyDescent="0.3">
      <c r="A5" s="35" t="s">
        <v>259</v>
      </c>
      <c r="B5" s="29"/>
      <c r="C5" s="1"/>
      <c r="D5" s="1"/>
      <c r="E5" s="1"/>
      <c r="F5" s="1"/>
      <c r="G5" s="1"/>
      <c r="H5" s="1"/>
      <c r="I5" s="1"/>
      <c r="J5" s="1"/>
    </row>
    <row r="6" spans="1:10" ht="34.049999999999997" customHeight="1" x14ac:dyDescent="0.35">
      <c r="A6" s="17" t="s">
        <v>260</v>
      </c>
      <c r="B6" s="18">
        <f>COUNTA(OBSERVACIONES!$A$8:$A$200)</f>
        <v>18</v>
      </c>
      <c r="C6" s="30" t="s">
        <v>261</v>
      </c>
      <c r="D6" s="29"/>
      <c r="E6" s="29"/>
      <c r="F6" s="1"/>
      <c r="G6" s="1"/>
      <c r="H6" s="1"/>
      <c r="I6" s="1"/>
      <c r="J6" s="1"/>
    </row>
    <row r="7" spans="1:10" ht="34.049999999999997" customHeight="1" x14ac:dyDescent="0.35">
      <c r="A7" s="17" t="s">
        <v>262</v>
      </c>
      <c r="B7" s="18">
        <f>COUNTIF(OBSERVACIONES!$N$8:$N$200,"Crítica")+COUNTIF(OBSERVACIONES!$N$8:$N$200,"Alta")</f>
        <v>14</v>
      </c>
      <c r="C7" s="30" t="s">
        <v>263</v>
      </c>
      <c r="D7" s="29"/>
      <c r="E7" s="29"/>
      <c r="F7" s="1"/>
      <c r="G7" s="1"/>
      <c r="H7" s="1"/>
      <c r="I7" s="1"/>
      <c r="J7" s="1"/>
    </row>
    <row r="8" spans="1:10" ht="34.049999999999997" customHeight="1" x14ac:dyDescent="0.35">
      <c r="A8" s="17" t="s">
        <v>264</v>
      </c>
      <c r="B8" s="18">
        <f>COUNTIF(OBSERVACIONES!$O$8:$O$200,"Aplicado")</f>
        <v>0</v>
      </c>
      <c r="C8" s="30" t="s">
        <v>265</v>
      </c>
      <c r="D8" s="29"/>
      <c r="E8" s="29"/>
      <c r="F8" s="1"/>
      <c r="G8" s="1"/>
      <c r="H8" s="1"/>
      <c r="I8" s="1"/>
      <c r="J8" s="1"/>
    </row>
    <row r="9" spans="1:10" ht="34.049999999999997" customHeight="1" x14ac:dyDescent="0.35">
      <c r="A9" s="17" t="s">
        <v>266</v>
      </c>
      <c r="B9" s="19">
        <f>IF(B6=0,0,(COUNTIF(OBSERVACIONES!$O$8:$O$200,"Aplicado")+COUNTIF(OBSERVACIONES!$O$8:$O$200,"Descartado (justificado)")+COUNTIF(OBSERVACIONES!$O$8:$O$200,"No aplica"))/B6)</f>
        <v>5.5555555555555552E-2</v>
      </c>
      <c r="C9" s="30" t="s">
        <v>267</v>
      </c>
      <c r="D9" s="29"/>
      <c r="E9" s="29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ht="15.6" x14ac:dyDescent="0.3">
      <c r="A12" s="35" t="s">
        <v>268</v>
      </c>
      <c r="B12" s="29"/>
      <c r="C12" s="1"/>
      <c r="D12" s="35" t="s">
        <v>269</v>
      </c>
      <c r="E12" s="29"/>
      <c r="F12" s="1"/>
      <c r="G12" s="35" t="s">
        <v>270</v>
      </c>
      <c r="H12" s="29"/>
      <c r="I12" s="1"/>
      <c r="J12" s="1"/>
    </row>
    <row r="13" spans="1:10" x14ac:dyDescent="0.3">
      <c r="A13" s="4" t="s">
        <v>25</v>
      </c>
      <c r="B13" s="4" t="s">
        <v>271</v>
      </c>
      <c r="C13" s="1"/>
      <c r="D13" s="4" t="s">
        <v>58</v>
      </c>
      <c r="E13" s="4" t="s">
        <v>271</v>
      </c>
      <c r="F13" s="1"/>
      <c r="G13" s="4" t="s">
        <v>272</v>
      </c>
      <c r="H13" s="4" t="s">
        <v>271</v>
      </c>
      <c r="I13" s="1"/>
      <c r="J13" s="1"/>
    </row>
    <row r="14" spans="1:10" x14ac:dyDescent="0.3">
      <c r="A14" s="20" t="s">
        <v>16</v>
      </c>
      <c r="B14" s="21">
        <f>COUNTIF(OBSERVACIONES!$O$8:$O$200,A14)</f>
        <v>17</v>
      </c>
      <c r="C14" s="1"/>
      <c r="D14" s="20" t="s">
        <v>93</v>
      </c>
      <c r="E14" s="21">
        <f>COUNTIF(OBSERVACIONES!$N$8:$N$200,D14)</f>
        <v>7</v>
      </c>
      <c r="F14" s="1"/>
      <c r="G14" s="20" t="s">
        <v>61</v>
      </c>
      <c r="H14" s="21">
        <f>COUNTIF(OBSERVACIONES!$C$8:$C$200,G14)</f>
        <v>7</v>
      </c>
      <c r="I14" s="1"/>
      <c r="J14" s="1"/>
    </row>
    <row r="15" spans="1:10" x14ac:dyDescent="0.3">
      <c r="A15" s="22" t="s">
        <v>273</v>
      </c>
      <c r="B15" s="23">
        <f>COUNTIF(OBSERVACIONES!$O$8:$O$200,A15)</f>
        <v>0</v>
      </c>
      <c r="C15" s="1"/>
      <c r="D15" s="22" t="s">
        <v>72</v>
      </c>
      <c r="E15" s="23">
        <f>COUNTIF(OBSERVACIONES!$N$8:$N$200,D15)</f>
        <v>7</v>
      </c>
      <c r="F15" s="1"/>
      <c r="G15" s="22" t="s">
        <v>135</v>
      </c>
      <c r="H15" s="23">
        <f>COUNTIF(OBSERVACIONES!$C$8:$C$200,G15)</f>
        <v>3</v>
      </c>
      <c r="I15" s="1"/>
      <c r="J15" s="1"/>
    </row>
    <row r="16" spans="1:10" x14ac:dyDescent="0.3">
      <c r="A16" s="20" t="s">
        <v>18</v>
      </c>
      <c r="B16" s="21">
        <f>COUNTIF(OBSERVACIONES!$O$8:$O$200,A16)</f>
        <v>0</v>
      </c>
      <c r="C16" s="1"/>
      <c r="D16" s="20" t="s">
        <v>156</v>
      </c>
      <c r="E16" s="21">
        <f>COUNTIF(OBSERVACIONES!$N$8:$N$200,D16)</f>
        <v>3</v>
      </c>
      <c r="F16" s="1"/>
      <c r="G16" s="20" t="s">
        <v>170</v>
      </c>
      <c r="H16" s="21">
        <f>COUNTIF(OBSERVACIONES!$C$8:$C$200,G16)</f>
        <v>4</v>
      </c>
      <c r="I16" s="1"/>
      <c r="J16" s="1"/>
    </row>
    <row r="17" spans="1:10" x14ac:dyDescent="0.3">
      <c r="A17" s="22" t="s">
        <v>20</v>
      </c>
      <c r="B17" s="23">
        <f>COUNTIF(OBSERVACIONES!$O$8:$O$200,A17)</f>
        <v>0</v>
      </c>
      <c r="C17" s="1"/>
      <c r="D17" s="22" t="s">
        <v>168</v>
      </c>
      <c r="E17" s="23">
        <f>COUNTIF(OBSERVACIONES!$N$8:$N$200,D17)</f>
        <v>1</v>
      </c>
      <c r="F17" s="1"/>
      <c r="G17" s="22" t="s">
        <v>213</v>
      </c>
      <c r="H17" s="23">
        <f>COUNTIF(OBSERVACIONES!$C$8:$C$200,G17)</f>
        <v>2</v>
      </c>
      <c r="I17" s="1"/>
      <c r="J17" s="1"/>
    </row>
    <row r="18" spans="1:10" x14ac:dyDescent="0.3">
      <c r="A18" s="20" t="s">
        <v>22</v>
      </c>
      <c r="B18" s="21">
        <f>COUNTIF(OBSERVACIONES!$O$8:$O$200,A18)</f>
        <v>1</v>
      </c>
      <c r="C18" s="1"/>
      <c r="D18" s="1"/>
      <c r="E18" s="1"/>
      <c r="F18" s="1"/>
      <c r="G18" s="20" t="s">
        <v>236</v>
      </c>
      <c r="H18" s="21">
        <f>COUNTIF(OBSERVACIONES!$C$8:$C$200,G18)</f>
        <v>2</v>
      </c>
      <c r="I18" s="1"/>
      <c r="J18" s="1"/>
    </row>
  </sheetData>
  <mergeCells count="10">
    <mergeCell ref="D12:E12"/>
    <mergeCell ref="A1:J2"/>
    <mergeCell ref="G12:H12"/>
    <mergeCell ref="A3:J3"/>
    <mergeCell ref="A5:B5"/>
    <mergeCell ref="C8:E8"/>
    <mergeCell ref="C9:E9"/>
    <mergeCell ref="C7:E7"/>
    <mergeCell ref="C6:E6"/>
    <mergeCell ref="A12:B12"/>
  </mergeCells>
  <pageMargins left="0.75" right="0.75" top="1" bottom="1" header="0.5" footer="0.5"/>
  <pageSetup orientation="landscape"/>
  <headerFooter>
    <oddHeader>&amp;C&amp;8 &amp;K666666CyberFlow | Validación interna</oddHeader>
    <oddFooter>&amp;L&amp;8 Documento de trabajo&amp;C&amp;8 Página &amp;P de &amp;N&amp;R&amp;8 15/10/2026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1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31" customWidth="1"/>
    <col min="2" max="2" width="24" customWidth="1"/>
    <col min="3" max="3" width="42" customWidth="1"/>
    <col min="4" max="4" width="23" customWidth="1"/>
    <col min="5" max="5" width="15" customWidth="1"/>
    <col min="6" max="6" width="31" customWidth="1"/>
    <col min="7" max="7" width="43" customWidth="1"/>
  </cols>
  <sheetData>
    <row r="1" spans="1:7" ht="28.05" customHeight="1" x14ac:dyDescent="0.3">
      <c r="A1" s="37" t="s">
        <v>274</v>
      </c>
      <c r="B1" s="38"/>
      <c r="C1" s="38"/>
      <c r="D1" s="38"/>
      <c r="E1" s="38"/>
      <c r="F1" s="38"/>
      <c r="G1" s="38"/>
    </row>
    <row r="2" spans="1:7" ht="16.05" customHeight="1" x14ac:dyDescent="0.3">
      <c r="A2" s="38"/>
      <c r="B2" s="38"/>
      <c r="C2" s="38"/>
      <c r="D2" s="38"/>
      <c r="E2" s="38"/>
      <c r="F2" s="38"/>
      <c r="G2" s="38"/>
    </row>
    <row r="3" spans="1:7" ht="28.05" customHeight="1" x14ac:dyDescent="0.3">
      <c r="A3" s="36" t="s">
        <v>275</v>
      </c>
      <c r="B3" s="29"/>
      <c r="C3" s="29"/>
      <c r="D3" s="29"/>
      <c r="E3" s="29"/>
      <c r="F3" s="29"/>
      <c r="G3" s="29"/>
    </row>
    <row r="4" spans="1:7" x14ac:dyDescent="0.3">
      <c r="A4" s="1"/>
      <c r="B4" s="1"/>
      <c r="C4" s="1"/>
      <c r="D4" s="1"/>
      <c r="E4" s="1"/>
      <c r="F4" s="1"/>
      <c r="G4" s="1"/>
    </row>
    <row r="5" spans="1:7" x14ac:dyDescent="0.3">
      <c r="A5" s="1"/>
      <c r="B5" s="1"/>
      <c r="C5" s="1"/>
      <c r="D5" s="1"/>
      <c r="E5" s="1"/>
      <c r="F5" s="1"/>
      <c r="G5" s="1"/>
    </row>
    <row r="6" spans="1:7" x14ac:dyDescent="0.3">
      <c r="A6" s="3" t="s">
        <v>276</v>
      </c>
      <c r="B6" s="3" t="s">
        <v>277</v>
      </c>
      <c r="C6" s="3" t="s">
        <v>278</v>
      </c>
      <c r="D6" s="3" t="s">
        <v>279</v>
      </c>
      <c r="E6" s="3" t="s">
        <v>280</v>
      </c>
      <c r="F6" s="3" t="s">
        <v>281</v>
      </c>
      <c r="G6" s="3" t="s">
        <v>31</v>
      </c>
    </row>
    <row r="7" spans="1:7" ht="58.05" customHeight="1" x14ac:dyDescent="0.3">
      <c r="A7" s="24" t="s">
        <v>61</v>
      </c>
      <c r="B7" s="24" t="s">
        <v>282</v>
      </c>
      <c r="C7" s="24" t="s">
        <v>283</v>
      </c>
      <c r="D7" s="24" t="s">
        <v>284</v>
      </c>
      <c r="E7" s="24">
        <v>7</v>
      </c>
      <c r="F7" s="24" t="s">
        <v>285</v>
      </c>
      <c r="G7" s="24" t="s">
        <v>286</v>
      </c>
    </row>
    <row r="8" spans="1:7" ht="58.05" customHeight="1" x14ac:dyDescent="0.3">
      <c r="A8" s="25" t="s">
        <v>135</v>
      </c>
      <c r="B8" s="25" t="s">
        <v>287</v>
      </c>
      <c r="C8" s="25" t="s">
        <v>288</v>
      </c>
      <c r="D8" s="25" t="s">
        <v>289</v>
      </c>
      <c r="E8" s="25">
        <v>3</v>
      </c>
      <c r="F8" s="25" t="s">
        <v>285</v>
      </c>
      <c r="G8" s="25" t="s">
        <v>290</v>
      </c>
    </row>
    <row r="9" spans="1:7" ht="58.05" customHeight="1" x14ac:dyDescent="0.3">
      <c r="A9" s="24" t="s">
        <v>170</v>
      </c>
      <c r="B9" s="24" t="s">
        <v>287</v>
      </c>
      <c r="C9" s="24" t="s">
        <v>291</v>
      </c>
      <c r="D9" s="24" t="s">
        <v>292</v>
      </c>
      <c r="E9" s="24">
        <v>4</v>
      </c>
      <c r="F9" s="24" t="s">
        <v>285</v>
      </c>
      <c r="G9" s="24" t="s">
        <v>293</v>
      </c>
    </row>
    <row r="10" spans="1:7" ht="58.05" customHeight="1" x14ac:dyDescent="0.3">
      <c r="A10" s="25" t="s">
        <v>236</v>
      </c>
      <c r="B10" s="25" t="s">
        <v>294</v>
      </c>
      <c r="C10" s="25" t="s">
        <v>295</v>
      </c>
      <c r="D10" s="25" t="s">
        <v>296</v>
      </c>
      <c r="E10" s="25">
        <v>2</v>
      </c>
      <c r="F10" s="25" t="s">
        <v>285</v>
      </c>
      <c r="G10" s="25" t="s">
        <v>297</v>
      </c>
    </row>
    <row r="11" spans="1:7" ht="58.05" customHeight="1" x14ac:dyDescent="0.3">
      <c r="A11" s="24" t="s">
        <v>298</v>
      </c>
      <c r="B11" s="24" t="s">
        <v>213</v>
      </c>
      <c r="C11" s="24" t="s">
        <v>299</v>
      </c>
      <c r="D11" s="24" t="s">
        <v>300</v>
      </c>
      <c r="E11" s="24">
        <v>1</v>
      </c>
      <c r="F11" s="24" t="s">
        <v>285</v>
      </c>
      <c r="G11" s="24" t="s">
        <v>301</v>
      </c>
    </row>
    <row r="12" spans="1:7" ht="58.05" customHeight="1" x14ac:dyDescent="0.3">
      <c r="A12" s="25" t="s">
        <v>302</v>
      </c>
      <c r="B12" s="25" t="s">
        <v>213</v>
      </c>
      <c r="C12" s="25" t="s">
        <v>303</v>
      </c>
      <c r="D12" s="25" t="s">
        <v>300</v>
      </c>
      <c r="E12" s="25">
        <v>1</v>
      </c>
      <c r="F12" s="25" t="s">
        <v>285</v>
      </c>
      <c r="G12" s="25" t="s">
        <v>304</v>
      </c>
    </row>
    <row r="13" spans="1:7" ht="58.05" customHeight="1" x14ac:dyDescent="0.3">
      <c r="A13" s="24" t="s">
        <v>305</v>
      </c>
      <c r="B13" s="24" t="s">
        <v>306</v>
      </c>
      <c r="C13" s="24" t="s">
        <v>307</v>
      </c>
      <c r="D13" s="24" t="s">
        <v>308</v>
      </c>
      <c r="E13" s="24">
        <v>0</v>
      </c>
      <c r="F13" s="24" t="s">
        <v>309</v>
      </c>
      <c r="G13" s="24" t="s">
        <v>310</v>
      </c>
    </row>
    <row r="14" spans="1:7" x14ac:dyDescent="0.3">
      <c r="A14" s="1"/>
      <c r="B14" s="1"/>
      <c r="C14" s="1"/>
      <c r="D14" s="1"/>
      <c r="E14" s="1"/>
      <c r="F14" s="1"/>
      <c r="G14" s="1"/>
    </row>
    <row r="15" spans="1:7" x14ac:dyDescent="0.3">
      <c r="A15" s="1"/>
      <c r="B15" s="1"/>
      <c r="C15" s="1"/>
      <c r="D15" s="1"/>
      <c r="E15" s="1"/>
      <c r="F15" s="1"/>
      <c r="G15" s="1"/>
    </row>
    <row r="16" spans="1:7" ht="15.6" x14ac:dyDescent="0.3">
      <c r="A16" s="35" t="s">
        <v>311</v>
      </c>
      <c r="B16" s="29"/>
      <c r="C16" s="29"/>
      <c r="D16" s="29"/>
      <c r="E16" s="29"/>
      <c r="F16" s="29"/>
      <c r="G16" s="29"/>
    </row>
    <row r="17" spans="1:7" ht="30" customHeight="1" x14ac:dyDescent="0.3">
      <c r="A17" s="26" t="s">
        <v>312</v>
      </c>
      <c r="B17" s="33" t="s">
        <v>313</v>
      </c>
      <c r="C17" s="29"/>
      <c r="D17" s="29"/>
      <c r="E17" s="29"/>
      <c r="F17" s="29"/>
      <c r="G17" s="29"/>
    </row>
    <row r="18" spans="1:7" ht="30" customHeight="1" x14ac:dyDescent="0.3">
      <c r="A18" s="27" t="s">
        <v>314</v>
      </c>
      <c r="B18" s="32" t="s">
        <v>315</v>
      </c>
      <c r="C18" s="29"/>
      <c r="D18" s="29"/>
      <c r="E18" s="29"/>
      <c r="F18" s="29"/>
      <c r="G18" s="29"/>
    </row>
    <row r="19" spans="1:7" ht="30" customHeight="1" x14ac:dyDescent="0.3">
      <c r="A19" s="26" t="s">
        <v>316</v>
      </c>
      <c r="B19" s="33" t="s">
        <v>317</v>
      </c>
      <c r="C19" s="29"/>
      <c r="D19" s="29"/>
      <c r="E19" s="29"/>
      <c r="F19" s="29"/>
      <c r="G19" s="29"/>
    </row>
    <row r="20" spans="1:7" ht="30" customHeight="1" x14ac:dyDescent="0.3">
      <c r="A20" s="27" t="s">
        <v>318</v>
      </c>
      <c r="B20" s="32" t="s">
        <v>319</v>
      </c>
      <c r="C20" s="29"/>
      <c r="D20" s="29"/>
      <c r="E20" s="29"/>
      <c r="F20" s="29"/>
      <c r="G20" s="29"/>
    </row>
    <row r="21" spans="1:7" ht="30" customHeight="1" x14ac:dyDescent="0.3">
      <c r="A21" s="26" t="s">
        <v>320</v>
      </c>
      <c r="B21" s="33" t="s">
        <v>321</v>
      </c>
      <c r="C21" s="29"/>
      <c r="D21" s="29"/>
      <c r="E21" s="29"/>
      <c r="F21" s="29"/>
      <c r="G21" s="29"/>
    </row>
  </sheetData>
  <mergeCells count="8">
    <mergeCell ref="B21:G21"/>
    <mergeCell ref="B19:G19"/>
    <mergeCell ref="B20:G20"/>
    <mergeCell ref="A1:G2"/>
    <mergeCell ref="A3:G3"/>
    <mergeCell ref="B17:G17"/>
    <mergeCell ref="A16:G16"/>
    <mergeCell ref="B18:G18"/>
  </mergeCells>
  <pageMargins left="0.75" right="0.75" top="1" bottom="1" header="0.5" footer="0.5"/>
  <pageSetup fitToHeight="0" orientation="landscape"/>
  <headerFooter>
    <oddHeader>&amp;C&amp;8 &amp;K666666CyberFlow | Validación interna</oddHeader>
    <oddFooter>&amp;L&amp;8 Documento de trabajo&amp;C&amp;8 Página &amp;P de &amp;N&amp;R&amp;8 15/10/2026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6"/>
  <sheetViews>
    <sheetView workbookViewId="0"/>
  </sheetViews>
  <sheetFormatPr baseColWidth="10" defaultColWidth="8.88671875" defaultRowHeight="14.4" x14ac:dyDescent="0.3"/>
  <sheetData>
    <row r="1" spans="1:2" x14ac:dyDescent="0.3">
      <c r="A1" s="1" t="s">
        <v>322</v>
      </c>
      <c r="B1" s="1" t="s">
        <v>323</v>
      </c>
    </row>
    <row r="2" spans="1:2" x14ac:dyDescent="0.3">
      <c r="A2" s="1" t="s">
        <v>16</v>
      </c>
      <c r="B2" s="1" t="s">
        <v>93</v>
      </c>
    </row>
    <row r="3" spans="1:2" x14ac:dyDescent="0.3">
      <c r="A3" s="1" t="s">
        <v>273</v>
      </c>
      <c r="B3" s="1" t="s">
        <v>72</v>
      </c>
    </row>
    <row r="4" spans="1:2" x14ac:dyDescent="0.3">
      <c r="A4" s="1" t="s">
        <v>18</v>
      </c>
      <c r="B4" s="1" t="s">
        <v>156</v>
      </c>
    </row>
    <row r="5" spans="1:2" x14ac:dyDescent="0.3">
      <c r="A5" s="1" t="s">
        <v>20</v>
      </c>
      <c r="B5" s="1" t="s">
        <v>168</v>
      </c>
    </row>
    <row r="6" spans="1:2" x14ac:dyDescent="0.3">
      <c r="A6" s="1" t="s">
        <v>22</v>
      </c>
      <c r="B6" s="1"/>
    </row>
  </sheetData>
  <pageMargins left="0.75" right="0.75" top="1" bottom="1" header="0.5" footer="0.5"/>
  <headerFooter>
    <oddHeader>&amp;C&amp;8 &amp;K666666CyberFlow | Validación interna</oddHeader>
    <oddFooter>&amp;L&amp;8 Documento de trabajo&amp;C&amp;8 Página &amp;P de &amp;N&amp;R&amp;8 15/10/2026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7</vt:i4>
      </vt:variant>
    </vt:vector>
  </HeadingPairs>
  <TitlesOfParts>
    <vt:vector size="12" baseType="lpstr">
      <vt:lpstr>LEEME</vt:lpstr>
      <vt:lpstr>OBSERVACIONES</vt:lpstr>
      <vt:lpstr>RESUMEN</vt:lpstr>
      <vt:lpstr>PARTICIPANTES</vt:lpstr>
      <vt:lpstr>CATALOGOS</vt:lpstr>
      <vt:lpstr>LEEME!Área_de_impresión</vt:lpstr>
      <vt:lpstr>OBSERVACIONES!Área_de_impresión</vt:lpstr>
      <vt:lpstr>PARTICIPANTES!Área_de_impresión</vt:lpstr>
      <vt:lpstr>RESUMEN!Área_de_impresión</vt:lpstr>
      <vt:lpstr>ListaEstados</vt:lpstr>
      <vt:lpstr>ListaPrioridades</vt:lpstr>
      <vt:lpstr>OBSERVACIONES!Títulos_a_imprimir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Respuesta a observaciones de validación interna de CyberFlow</dc:title>
  <dc:subject>Matriz de levantamiento, respuesta propuesta y seguimiento</dc:subject>
  <dc:creator>Equipo CyberFlow</dc:creator>
  <dc:description>Observaciones de la validación interna técnica y control de cambios.</dc:description>
  <cp:lastModifiedBy>pepesalomw@outlook.es</cp:lastModifiedBy>
  <dcterms:created xsi:type="dcterms:W3CDTF">2026-10-16T04:55:16Z</dcterms:created>
  <dcterms:modified xsi:type="dcterms:W3CDTF">2026-10-16T04:55:22Z</dcterms:modified>
</cp:coreProperties>
</file>